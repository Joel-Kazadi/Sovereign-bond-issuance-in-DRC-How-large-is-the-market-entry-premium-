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Rédaction d'articles\Eurobond\Paper\"/>
    </mc:Choice>
  </mc:AlternateContent>
  <xr:revisionPtr revIDLastSave="0" documentId="13_ncr:1_{93EFB9B2-9957-433D-8A79-ADFFB460E230}" xr6:coauthVersionLast="47" xr6:coauthVersionMax="47" xr10:uidLastSave="{00000000-0000-0000-0000-000000000000}"/>
  <bookViews>
    <workbookView xWindow="-120" yWindow="-120" windowWidth="20730" windowHeight="11040" activeTab="1" xr2:uid="{6C8197AD-1C80-4135-B38C-3171EA179C13}"/>
  </bookViews>
  <sheets>
    <sheet name="description" sheetId="3" r:id="rId1"/>
    <sheet name="cross sectional data" sheetId="1" r:id="rId2"/>
    <sheet name="drc data"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2" i="1" l="1"/>
  <c r="B3" i="7"/>
  <c r="B4" i="7" s="1"/>
  <c r="B5" i="7" s="1"/>
  <c r="B6" i="7" s="1"/>
  <c r="B7" i="7" s="1"/>
  <c r="B8" i="7" s="1"/>
  <c r="B10" i="7"/>
  <c r="B11" i="7" s="1"/>
  <c r="B12" i="7" s="1"/>
  <c r="B13" i="7" s="1"/>
  <c r="B14" i="7" s="1"/>
  <c r="B15" i="7" s="1"/>
</calcChain>
</file>

<file path=xl/sharedStrings.xml><?xml version="1.0" encoding="utf-8"?>
<sst xmlns="http://schemas.openxmlformats.org/spreadsheetml/2006/main" count="769" uniqueCount="207">
  <si>
    <t>country</t>
  </si>
  <si>
    <t>amount_usd</t>
  </si>
  <si>
    <t>debt</t>
  </si>
  <si>
    <t>reserves</t>
  </si>
  <si>
    <t>growth</t>
  </si>
  <si>
    <t>inflation</t>
  </si>
  <si>
    <t>current_account</t>
  </si>
  <si>
    <t>fiscal_balance</t>
  </si>
  <si>
    <t>issue_date</t>
  </si>
  <si>
    <t>Côte d'Ivoire</t>
  </si>
  <si>
    <t>Égypte</t>
  </si>
  <si>
    <t>Afrique du Sud</t>
  </si>
  <si>
    <t>Maroc</t>
  </si>
  <si>
    <t>Ghana</t>
  </si>
  <si>
    <t>Zambie</t>
  </si>
  <si>
    <t>Uganda</t>
  </si>
  <si>
    <t>Sénégal</t>
  </si>
  <si>
    <t>Angola</t>
  </si>
  <si>
    <t>Gabon</t>
  </si>
  <si>
    <t>Bénin</t>
  </si>
  <si>
    <t>Kenya</t>
  </si>
  <si>
    <t>RDC</t>
  </si>
  <si>
    <t>Venezuela</t>
  </si>
  <si>
    <t>Argentine</t>
  </si>
  <si>
    <t>Mexique</t>
  </si>
  <si>
    <t>Colombie</t>
  </si>
  <si>
    <t>Brésil</t>
  </si>
  <si>
    <t>Uruguay</t>
  </si>
  <si>
    <t>Panama</t>
  </si>
  <si>
    <t>Trinidad &amp; Tobago</t>
  </si>
  <si>
    <t>Équateur</t>
  </si>
  <si>
    <t>Belize</t>
  </si>
  <si>
    <t>El Salvador</t>
  </si>
  <si>
    <t>Pérou</t>
  </si>
  <si>
    <t>Grenade</t>
  </si>
  <si>
    <t>Jamaïque</t>
  </si>
  <si>
    <t>Bahamas</t>
  </si>
  <si>
    <t>Chili</t>
  </si>
  <si>
    <t>Costa Rica</t>
  </si>
  <si>
    <t>Honduras</t>
  </si>
  <si>
    <t>Bolivie</t>
  </si>
  <si>
    <t>Paraguay</t>
  </si>
  <si>
    <t>Aruba</t>
  </si>
  <si>
    <t>Barbade</t>
  </si>
  <si>
    <t>Bermudes</t>
  </si>
  <si>
    <t>Canada</t>
  </si>
  <si>
    <t>Suriname</t>
  </si>
  <si>
    <t>Chine</t>
  </si>
  <si>
    <t>Vietnam</t>
  </si>
  <si>
    <t>Israël</t>
  </si>
  <si>
    <t>Qatar</t>
  </si>
  <si>
    <t>Philippines</t>
  </si>
  <si>
    <t>Indonésie</t>
  </si>
  <si>
    <t>Pakistan</t>
  </si>
  <si>
    <t>Liban</t>
  </si>
  <si>
    <t>Kazakhstan</t>
  </si>
  <si>
    <t>Sri Lanka</t>
  </si>
  <si>
    <t>Émirat de Dubaï</t>
  </si>
  <si>
    <t>Laos</t>
  </si>
  <si>
    <t>Jordanie</t>
  </si>
  <si>
    <t>Oman</t>
  </si>
  <si>
    <t>Bahreïn</t>
  </si>
  <si>
    <t>Arabie Saoudite</t>
  </si>
  <si>
    <t>Abu Dhabi</t>
  </si>
  <si>
    <t>Chypre</t>
  </si>
  <si>
    <t>Malaisie</t>
  </si>
  <si>
    <t>Papouasie-N-G</t>
  </si>
  <si>
    <t>Mongolie</t>
  </si>
  <si>
    <t>Hong Kong</t>
  </si>
  <si>
    <t>Émirat de Sharjah</t>
  </si>
  <si>
    <t>Géorgie</t>
  </si>
  <si>
    <t>region</t>
  </si>
  <si>
    <t>Afrique</t>
  </si>
  <si>
    <t>Nigéria</t>
  </si>
  <si>
    <t>Amérique latine</t>
  </si>
  <si>
    <t>Asie &amp; MO</t>
  </si>
  <si>
    <t>maturity_date</t>
  </si>
  <si>
    <t>maturity_type</t>
  </si>
  <si>
    <t>bbg_composite</t>
  </si>
  <si>
    <t>B-</t>
  </si>
  <si>
    <t>BB-</t>
  </si>
  <si>
    <t>BB+</t>
  </si>
  <si>
    <t>NR</t>
  </si>
  <si>
    <t>CCC+</t>
  </si>
  <si>
    <t>CCC-</t>
  </si>
  <si>
    <t>B+</t>
  </si>
  <si>
    <t>BBB</t>
  </si>
  <si>
    <t>BB</t>
  </si>
  <si>
    <t>A+</t>
  </si>
  <si>
    <t>AAA</t>
  </si>
  <si>
    <t>A-</t>
  </si>
  <si>
    <t>AA</t>
  </si>
  <si>
    <t>BBB-</t>
  </si>
  <si>
    <t>B</t>
  </si>
  <si>
    <t>AA+</t>
  </si>
  <si>
    <t>SINKABLE</t>
  </si>
  <si>
    <t>AT MATURITY</t>
  </si>
  <si>
    <t>PERPETUAL</t>
  </si>
  <si>
    <t>CALLABLE</t>
  </si>
  <si>
    <t>CALL/SINK</t>
  </si>
  <si>
    <t>PUTABLE</t>
  </si>
  <si>
    <t>currency</t>
  </si>
  <si>
    <t>USD</t>
  </si>
  <si>
    <t>NGN</t>
  </si>
  <si>
    <t>ZMW</t>
  </si>
  <si>
    <t>UGX</t>
  </si>
  <si>
    <t>EUR</t>
  </si>
  <si>
    <t>JPY</t>
  </si>
  <si>
    <t>PEN</t>
  </si>
  <si>
    <t>CLP</t>
  </si>
  <si>
    <t>CRC</t>
  </si>
  <si>
    <t>KZT</t>
  </si>
  <si>
    <t>CNY</t>
  </si>
  <si>
    <t>BBB+</t>
  </si>
  <si>
    <t>A</t>
  </si>
  <si>
    <t>yas_spread</t>
  </si>
  <si>
    <t>asw_spread</t>
  </si>
  <si>
    <t>ytm</t>
  </si>
  <si>
    <t>feature</t>
  </si>
  <si>
    <t>description</t>
  </si>
  <si>
    <t>Classification géographique simplifiée du pays émetteur : "Afrique", "Amérique latine et Caraïbes", "Asie et Moyen-Orient". Variable catégorielle nominale.</t>
  </si>
  <si>
    <t>Taux d’intérêt nominal annuel de l’obligation, exprimé en pourcentage de la valeur nominale.</t>
  </si>
  <si>
    <t>Notation de crédit composite calculée par Bloomberg à partir des notes fournies par les trois grandes agences (S&amp;P, Moody’s, Fitch).</t>
  </si>
  <si>
    <t>Type de structure de remboursement de l’obligation. Principales modalités : "AT MATURITY" (remboursement in fine du capital à l’échéance), "SINKABLE" (amortissement progressif via un fonds d’amortissement), "CALLABLE" (option de remboursement anticipé au gré de l’émetteur), "PUTABLE" (option de revente au gré de l’investisseur), "CALL/SINK" (combinaison), "PERPETUAL" (sans échéance).</t>
  </si>
  <si>
    <t>Code ISO 4217 de la devise dans laquelle l’obligation est libellée. Exemples : "USD" (dollar américain), "EUR" (euro), "JPY" (yen japonais).</t>
  </si>
  <si>
    <t>Date d’échéance finale de l’obligation (format MM/DD/YYYY). Moment où le principal est intégralement remboursé.</t>
  </si>
  <si>
    <t>Date de règlement de la première émission obligataire souveraine du pays sur les marchés internationaux (format MM/DD/YYYY).</t>
  </si>
  <si>
    <t>amount</t>
  </si>
  <si>
    <t>Note de crédit souverain attribuée par Standard &amp; Poor’s au moment de l’émission, exprimée en code alphanumérique (AAA, AA+, …, B-, CCC+, NR pour Not Rated, D pour défaut).</t>
  </si>
  <si>
    <t>Rendement actuariel à l’échéance (Yield-to-Maturity) côté offre (Bid), exprimé en pourcentage annuel. Représente le taux de rendement interne de l’obligation si achetée au prix bid et conservée jusqu’à la maturité.</t>
  </si>
  <si>
    <t>Volatilité historique annualisée du rendement de l’obligation sur une fenêtre glissante de 10 jours ouvrables, exprimée en pourcentage. Indicateur du risque de prix à très court terme.</t>
  </si>
  <si>
    <t>Spread de swap d’actifs (Asset Swap Spread) au prix milieu de marché (Mid), exprimé en points de base. Il mesure le spread entre le rendement de l’obligation et le taux swap de même devise et maturité, après prise en compte de la structure exacte des cash-flows.</t>
  </si>
  <si>
    <t>Nom du pays émetteur de l'obligation souveraine (government international bond). Variable de type texte.</t>
  </si>
  <si>
    <t>Montant nominal levé lors de l’émission, exprimée dans la devise de l’obligation (en millions d’unités de la devise).</t>
  </si>
  <si>
    <t>Spread de rendement calculé par la fonction Bloomberg YAS (Yield &amp; Spread Analysis), exprimé en points de base (100 bps = 1%). Il s’agit de la différence entre le rendement de l’obligation et la courbe de référence (généralement la courbe des swaps USD pour les obligations en dollar). Cette variable peut être négative pour les émetteurs de haute qualité dont le rendement est inférieur au taux swap.</t>
  </si>
  <si>
    <t>Taux de croissance du PIB réel, exprimé en pourcentage de variation annuelle. Mesure le rythme d’expansion ou de contraction de l’activité économique.</t>
  </si>
  <si>
    <t>Maturité contractuelle de l’obligation, exprimée en années. Mesure la durée entre la date d’émission et la date d’échéance.</t>
  </si>
  <si>
    <t>Stock de dette publique, exprimé en pourcentage du PIB nominal. Indicateur du poids de l’endettement par rapport à la taille de l’économie.</t>
  </si>
  <si>
    <t>Niveau des réserves internationales, exprimé en nombre de mois d’importations de biens et services couvertes. Mesure la capacité du pays à financer ses importations avec ses réserves de change.</t>
  </si>
  <si>
    <t>Solde du compte courant, exprimé en pourcentage du PIB.</t>
  </si>
  <si>
    <t>Montant nominale de l’émission, convertie en dollars américains au taux de change de la date d'émission (en millions de USD). Les taux de change correspondants sont tirés de l'Exchange Rate Query Tool du FMI.</t>
  </si>
  <si>
    <t>coupon_rate</t>
  </si>
  <si>
    <t>maturity</t>
  </si>
  <si>
    <t>B3</t>
  </si>
  <si>
    <t>A3</t>
  </si>
  <si>
    <t>A1</t>
  </si>
  <si>
    <t>A2</t>
  </si>
  <si>
    <t>B2</t>
  </si>
  <si>
    <t>B1</t>
  </si>
  <si>
    <t>Caa1</t>
  </si>
  <si>
    <t>Ba2</t>
  </si>
  <si>
    <t>Ba3</t>
  </si>
  <si>
    <t>Aaa</t>
  </si>
  <si>
    <t>Ba1</t>
  </si>
  <si>
    <t>Baa3</t>
  </si>
  <si>
    <t>Aa3</t>
  </si>
  <si>
    <t>Baa2</t>
  </si>
  <si>
    <t>Baa1</t>
  </si>
  <si>
    <t>Caa3</t>
  </si>
  <si>
    <t>Turquie</t>
  </si>
  <si>
    <t>AA-</t>
  </si>
  <si>
    <t>Aa2</t>
  </si>
  <si>
    <t>CCC</t>
  </si>
  <si>
    <t>sp_rating</t>
  </si>
  <si>
    <t>moodys_rating</t>
  </si>
  <si>
    <t>fitch_rating</t>
  </si>
  <si>
    <t>sp_note</t>
  </si>
  <si>
    <t>moodys_note</t>
  </si>
  <si>
    <t>fitch_note</t>
  </si>
  <si>
    <t>Note de crédit souverain attribuée par Moody's au moment de l’émission, exprimée en code alphanumérique (Aaa, Aa1, …, B3, Caa2).</t>
  </si>
  <si>
    <t>Note de crédit souverain attribuée par Fitch au moment de l’émission, exprimée en code alphanumérique (AAA, AA+, …, B-, CCC+).</t>
  </si>
  <si>
    <t>Solde budgétaire global, exprimé en pourcentage du PIB.</t>
  </si>
  <si>
    <t>year</t>
  </si>
  <si>
    <t>installment</t>
  </si>
  <si>
    <t>Taux d’inflation annuel, mesuré par la variation en pourcentage de l’indice des prix à la consommation (IPC). Indique la hausse moyenne du niveau général des prix (fin période, en glissement annuel).</t>
  </si>
  <si>
    <t>corruption_est</t>
  </si>
  <si>
    <t>corruption_scr</t>
  </si>
  <si>
    <t>effectiveness_est</t>
  </si>
  <si>
    <t>effectiveness_scr</t>
  </si>
  <si>
    <t>stability_est</t>
  </si>
  <si>
    <t>stability_scr</t>
  </si>
  <si>
    <t>regulatory_est</t>
  </si>
  <si>
    <t>regulatory_scr</t>
  </si>
  <si>
    <t>law_est</t>
  </si>
  <si>
    <t>law_scr</t>
  </si>
  <si>
    <t>voice_est</t>
  </si>
  <si>
    <t>voice_scr</t>
  </si>
  <si>
    <t>Indice de contrôle de la corruption issu de WGI, exprimé sur une échelle allant de -2,5 à +2,5. Valeur plus élevée = meilleur contrôle de la corruption.</t>
  </si>
  <si>
    <t>Indice d’efficacité gouvernementale issu de WGI, exprimé sur une échelle allant de -2,5 à +2,5. Valeur plus élevée = administration publique plus efficace.</t>
  </si>
  <si>
    <t>Indice de stabilité politique et absence de violence/terrorisme issu de WGI, exprimé sur une échelle allant de -2,5 à +2,5. Valeur plus élevée = environnement politique plus stable.</t>
  </si>
  <si>
    <t>Indice de qualité de la réglementation issu de WGI, exprimé sur une échelle allant de -2,5 à +2,5. Valeur plus élevée = cadre réglementaire plus favorable.</t>
  </si>
  <si>
    <t>Indice d’État de droit issu de WGI, exprimé sur une échelle allant de -2,5 à +2,5. Valeur plus élevée = meilleur respect des règles, des contrats et de l’indépendance judiciaire.</t>
  </si>
  <si>
    <t>Indice de participation citoyenne et de responsabilité publique issu de WGI, exprimé sur une échelle allant de -2,5 à +2,5. Valeur plus élevée = plus forte redevabilité.</t>
  </si>
  <si>
    <t>Note de crédit souverain Standard &amp; Poor’s transformée en score ordinal numérique inverse, où la meilleure note reçoit la valeur la plus faible (AAA=1, AA+=2, etc.).</t>
  </si>
  <si>
    <t>Note de crédit souverain Moody’s transformée en score ordinal numérique inverse, où la meilleure note reçoit la valeur la plus faible (Aaa=1, Aa1=2, etc.).</t>
  </si>
  <si>
    <t>Note de crédit souverain Fitch transformée en score ordinal numérique inverse, où la meilleure note reçoit la valeur la plus faible (AAA=1, AA+=2, etc.).</t>
  </si>
  <si>
    <t>Indice de contrôle de la corruption issu de WGI, exprimé comme score standardisé sur une échelle de 0 à 100 (rang percentile : pourcentage de pays dans le monde ayant un score inférieur ou égal).</t>
  </si>
  <si>
    <t>Indice d’efficacité gouvernementale issu de WGI, exprimé comme score standardisé sur une échelle de 0 à 100 (rang percentile : pourcentage de pays dans le monde ayant un score inférieur ou égal).</t>
  </si>
  <si>
    <t>Indice de stabilité politique et absence de violence/terrorisme issu de WGI, exprimé comme score standardisé sur une échelle de 0 à 100 (rang percentile : pourcentage de pays dans le monde ayant un score inférieur ou égal).</t>
  </si>
  <si>
    <t>Indice de qualité de la réglementation issu de WGI, exprimé comme score standardisé sur une échelle de 0 à 100 (rang percentile : pourcentage de pays dans le monde ayant un score inférieur ou égal).</t>
  </si>
  <si>
    <t>Indice d’État de droit issu de WGI, exprimé comme score standardisé sur une échelle de 0 à 100 (rang percentile : pourcentage de pays dans le monde ayant un score inférieur ou égal).</t>
  </si>
  <si>
    <t>Indice de participation citoyenne et de responsabilité publique issu de WGI, exprimé comme score standardisé sur une échelle de 0 à 100 (rang percentile : pourcentage de pays dans le monde ayant un score inférieur ou égal).</t>
  </si>
  <si>
    <t>Unique</t>
  </si>
  <si>
    <t>Tranche d’émission de l’eurobond. Variable catégorielle indiquant si l’émission est effectuée en une seule tranche ("Unique") ou en plusieurs tranches distinctes ("A", "B"). Elle permet de distinguer les différentes lignes d’une même émission.</t>
  </si>
  <si>
    <t>hipc</t>
  </si>
  <si>
    <t>Variable dichotomique égale à 1 si le pays a émis son premier eurobond après avoir atteint le point d’achèvement de l’Initiative PPTE (Heavily Indebted Poor Countries), et 0 sinon. Elle capture le fait que l’émission inaugurale est intervenue dans un contexte post-allègement de dette.</t>
  </si>
  <si>
    <t>volatility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</si>
</sst>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409]d\-mmm\-yyyy;@"/>
    <numFmt numFmtId="166" formatCode="#,##0.000"/>
    <numFmt numFmtId="167" formatCode="0.0"/>
  </numFmts>
  <fonts count="4" x14ac:knownFonts="1">
    <font>
      <sz val="12"/>
      <color theme="1"/>
      <name val="Arial"/>
      <family val="2"/>
    </font>
    <font>
      <b/>
      <sz val="12"/>
      <color theme="1"/>
      <name val="Arial"/>
      <family val="2"/>
    </font>
    <font>
      <i/>
      <sz val="12"/>
      <color theme="1"/>
      <name val="Arial"/>
      <family val="2"/>
    </font>
    <font>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64" fontId="0" fillId="0" borderId="0" xfId="0" applyNumberFormat="1"/>
    <xf numFmtId="165" fontId="0" fillId="0" borderId="0" xfId="0" applyNumberFormat="1"/>
    <xf numFmtId="0" fontId="0" fillId="0" borderId="0" xfId="0" applyAlignment="1">
      <alignment horizontal="center"/>
    </xf>
    <xf numFmtId="0" fontId="2" fillId="0" borderId="0" xfId="0" applyFont="1"/>
    <xf numFmtId="166" fontId="0" fillId="0" borderId="0" xfId="0" applyNumberFormat="1"/>
    <xf numFmtId="167" fontId="0" fillId="0" borderId="0" xfId="0" applyNumberFormat="1"/>
    <xf numFmtId="164" fontId="3" fillId="0" borderId="0" xfId="0" applyNumberFormat="1" applyFont="1"/>
    <xf numFmtId="4" fontId="0" fillId="0" borderId="0" xfId="0" applyNumberFormat="1"/>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D847-3163-4A09-A2A8-E08818C5EFEC}">
  <dimension ref="A1:B42"/>
  <sheetViews>
    <sheetView topLeftCell="A9" workbookViewId="0">
      <selection activeCell="B31" sqref="B31"/>
    </sheetView>
  </sheetViews>
  <sheetFormatPr defaultColWidth="8.88671875" defaultRowHeight="15" x14ac:dyDescent="0.2"/>
  <cols>
    <col min="1" max="1" width="15.33203125" bestFit="1" customWidth="1"/>
  </cols>
  <sheetData>
    <row r="1" spans="1:2" s="1" customFormat="1" ht="15.75" x14ac:dyDescent="0.25">
      <c r="A1" s="1" t="s">
        <v>118</v>
      </c>
      <c r="B1" s="1" t="s">
        <v>119</v>
      </c>
    </row>
    <row r="2" spans="1:2" x14ac:dyDescent="0.2">
      <c r="A2" s="5" t="s">
        <v>0</v>
      </c>
      <c r="B2" t="s">
        <v>132</v>
      </c>
    </row>
    <row r="3" spans="1:2" x14ac:dyDescent="0.2">
      <c r="A3" s="5" t="s">
        <v>71</v>
      </c>
      <c r="B3" t="s">
        <v>120</v>
      </c>
    </row>
    <row r="4" spans="1:2" x14ac:dyDescent="0.2">
      <c r="A4" s="5" t="s">
        <v>173</v>
      </c>
      <c r="B4" t="s">
        <v>203</v>
      </c>
    </row>
    <row r="5" spans="1:2" x14ac:dyDescent="0.2">
      <c r="A5" s="5" t="s">
        <v>101</v>
      </c>
      <c r="B5" t="s">
        <v>124</v>
      </c>
    </row>
    <row r="6" spans="1:2" x14ac:dyDescent="0.2">
      <c r="A6" s="5" t="s">
        <v>127</v>
      </c>
      <c r="B6" t="s">
        <v>133</v>
      </c>
    </row>
    <row r="7" spans="1:2" x14ac:dyDescent="0.2">
      <c r="A7" s="5" t="s">
        <v>1</v>
      </c>
      <c r="B7" t="s">
        <v>140</v>
      </c>
    </row>
    <row r="8" spans="1:2" x14ac:dyDescent="0.2">
      <c r="A8" s="5" t="s">
        <v>8</v>
      </c>
      <c r="B8" t="s">
        <v>126</v>
      </c>
    </row>
    <row r="9" spans="1:2" x14ac:dyDescent="0.2">
      <c r="A9" s="5" t="s">
        <v>76</v>
      </c>
      <c r="B9" t="s">
        <v>125</v>
      </c>
    </row>
    <row r="10" spans="1:2" x14ac:dyDescent="0.2">
      <c r="A10" s="5" t="s">
        <v>77</v>
      </c>
      <c r="B10" t="s">
        <v>123</v>
      </c>
    </row>
    <row r="11" spans="1:2" x14ac:dyDescent="0.2">
      <c r="A11" s="5" t="s">
        <v>142</v>
      </c>
      <c r="B11" t="s">
        <v>136</v>
      </c>
    </row>
    <row r="12" spans="1:2" x14ac:dyDescent="0.2">
      <c r="A12" s="5" t="s">
        <v>141</v>
      </c>
      <c r="B12" t="s">
        <v>121</v>
      </c>
    </row>
    <row r="13" spans="1:2" x14ac:dyDescent="0.2">
      <c r="A13" s="5" t="s">
        <v>115</v>
      </c>
      <c r="B13" t="s">
        <v>134</v>
      </c>
    </row>
    <row r="14" spans="1:2" x14ac:dyDescent="0.2">
      <c r="A14" s="5" t="s">
        <v>116</v>
      </c>
      <c r="B14" t="s">
        <v>131</v>
      </c>
    </row>
    <row r="15" spans="1:2" x14ac:dyDescent="0.2">
      <c r="A15" s="5" t="s">
        <v>117</v>
      </c>
      <c r="B15" t="s">
        <v>129</v>
      </c>
    </row>
    <row r="16" spans="1:2" x14ac:dyDescent="0.2">
      <c r="A16" s="5" t="s">
        <v>2</v>
      </c>
      <c r="B16" t="s">
        <v>137</v>
      </c>
    </row>
    <row r="17" spans="1:2" x14ac:dyDescent="0.2">
      <c r="A17" s="5" t="s">
        <v>3</v>
      </c>
      <c r="B17" t="s">
        <v>138</v>
      </c>
    </row>
    <row r="18" spans="1:2" x14ac:dyDescent="0.2">
      <c r="A18" s="5" t="s">
        <v>4</v>
      </c>
      <c r="B18" t="s">
        <v>135</v>
      </c>
    </row>
    <row r="19" spans="1:2" x14ac:dyDescent="0.2">
      <c r="A19" s="5" t="s">
        <v>5</v>
      </c>
      <c r="B19" t="s">
        <v>174</v>
      </c>
    </row>
    <row r="20" spans="1:2" x14ac:dyDescent="0.2">
      <c r="A20" s="5" t="s">
        <v>6</v>
      </c>
      <c r="B20" t="s">
        <v>139</v>
      </c>
    </row>
    <row r="21" spans="1:2" x14ac:dyDescent="0.2">
      <c r="A21" s="5" t="s">
        <v>7</v>
      </c>
      <c r="B21" t="s">
        <v>171</v>
      </c>
    </row>
    <row r="22" spans="1:2" x14ac:dyDescent="0.2">
      <c r="A22" s="5" t="s">
        <v>175</v>
      </c>
      <c r="B22" t="s">
        <v>187</v>
      </c>
    </row>
    <row r="23" spans="1:2" x14ac:dyDescent="0.2">
      <c r="A23" s="5" t="s">
        <v>176</v>
      </c>
      <c r="B23" t="s">
        <v>196</v>
      </c>
    </row>
    <row r="24" spans="1:2" x14ac:dyDescent="0.2">
      <c r="A24" s="5" t="s">
        <v>177</v>
      </c>
      <c r="B24" t="s">
        <v>188</v>
      </c>
    </row>
    <row r="25" spans="1:2" x14ac:dyDescent="0.2">
      <c r="A25" s="5" t="s">
        <v>178</v>
      </c>
      <c r="B25" t="s">
        <v>197</v>
      </c>
    </row>
    <row r="26" spans="1:2" x14ac:dyDescent="0.2">
      <c r="A26" s="5" t="s">
        <v>179</v>
      </c>
      <c r="B26" t="s">
        <v>189</v>
      </c>
    </row>
    <row r="27" spans="1:2" x14ac:dyDescent="0.2">
      <c r="A27" s="5" t="s">
        <v>180</v>
      </c>
      <c r="B27" t="s">
        <v>198</v>
      </c>
    </row>
    <row r="28" spans="1:2" x14ac:dyDescent="0.2">
      <c r="A28" s="5" t="s">
        <v>181</v>
      </c>
      <c r="B28" t="s">
        <v>190</v>
      </c>
    </row>
    <row r="29" spans="1:2" x14ac:dyDescent="0.2">
      <c r="A29" s="5" t="s">
        <v>182</v>
      </c>
      <c r="B29" t="s">
        <v>199</v>
      </c>
    </row>
    <row r="30" spans="1:2" x14ac:dyDescent="0.2">
      <c r="A30" s="5" t="s">
        <v>183</v>
      </c>
      <c r="B30" t="s">
        <v>191</v>
      </c>
    </row>
    <row r="31" spans="1:2" x14ac:dyDescent="0.2">
      <c r="A31" s="5" t="s">
        <v>184</v>
      </c>
      <c r="B31" t="s">
        <v>200</v>
      </c>
    </row>
    <row r="32" spans="1:2" x14ac:dyDescent="0.2">
      <c r="A32" s="5" t="s">
        <v>185</v>
      </c>
      <c r="B32" t="s">
        <v>192</v>
      </c>
    </row>
    <row r="33" spans="1:2" x14ac:dyDescent="0.2">
      <c r="A33" s="5" t="s">
        <v>186</v>
      </c>
      <c r="B33" t="s">
        <v>201</v>
      </c>
    </row>
    <row r="34" spans="1:2" x14ac:dyDescent="0.2">
      <c r="A34" s="5" t="s">
        <v>78</v>
      </c>
      <c r="B34" t="s">
        <v>122</v>
      </c>
    </row>
    <row r="35" spans="1:2" x14ac:dyDescent="0.2">
      <c r="A35" s="5" t="s">
        <v>163</v>
      </c>
      <c r="B35" t="s">
        <v>128</v>
      </c>
    </row>
    <row r="36" spans="1:2" x14ac:dyDescent="0.2">
      <c r="A36" s="5" t="s">
        <v>166</v>
      </c>
      <c r="B36" t="s">
        <v>193</v>
      </c>
    </row>
    <row r="37" spans="1:2" x14ac:dyDescent="0.2">
      <c r="A37" s="5" t="s">
        <v>164</v>
      </c>
      <c r="B37" t="s">
        <v>169</v>
      </c>
    </row>
    <row r="38" spans="1:2" x14ac:dyDescent="0.2">
      <c r="A38" s="5" t="s">
        <v>167</v>
      </c>
      <c r="B38" t="s">
        <v>194</v>
      </c>
    </row>
    <row r="39" spans="1:2" x14ac:dyDescent="0.2">
      <c r="A39" s="5" t="s">
        <v>165</v>
      </c>
      <c r="B39" t="s">
        <v>170</v>
      </c>
    </row>
    <row r="40" spans="1:2" x14ac:dyDescent="0.2">
      <c r="A40" s="5" t="s">
        <v>168</v>
      </c>
      <c r="B40" t="s">
        <v>195</v>
      </c>
    </row>
    <row r="41" spans="1:2" x14ac:dyDescent="0.2">
      <c r="A41" s="5" t="s">
        <v>206</v>
      </c>
      <c r="B41" t="s">
        <v>130</v>
      </c>
    </row>
    <row r="42" spans="1:2" x14ac:dyDescent="0.2">
      <c r="A42" s="5" t="s">
        <v>204</v>
      </c>
      <c r="B42" t="s">
        <v>205</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5A9C-2151-4CFA-BCE5-35D015ED9744}">
  <dimension ref="A1:AO79"/>
  <sheetViews>
    <sheetView tabSelected="1" zoomScaleNormal="100" workbookViewId="0">
      <pane xSplit="1" ySplit="1" topLeftCell="AD2" activePane="bottomRight" state="frozen"/>
      <selection pane="topRight" activeCell="C1" sqref="C1"/>
      <selection pane="bottomLeft" activeCell="A2" sqref="A2"/>
      <selection pane="bottomRight" activeCell="AN17" sqref="AN17"/>
    </sheetView>
  </sheetViews>
  <sheetFormatPr defaultColWidth="8.88671875" defaultRowHeight="15" x14ac:dyDescent="0.2"/>
  <cols>
    <col min="1" max="1" width="15.5546875" bestFit="1" customWidth="1"/>
    <col min="2" max="2" width="13.21875" bestFit="1" customWidth="1"/>
    <col min="3" max="3" width="10.21875" bestFit="1" customWidth="1"/>
    <col min="4" max="4" width="8.5546875" bestFit="1" customWidth="1"/>
    <col min="5" max="5" width="11.6640625" bestFit="1" customWidth="1"/>
    <col min="6" max="6" width="11.6640625" customWidth="1"/>
    <col min="7" max="7" width="11.88671875" bestFit="1" customWidth="1"/>
    <col min="8" max="9" width="12.5546875" bestFit="1" customWidth="1"/>
    <col min="10" max="10" width="11" customWidth="1"/>
    <col min="11" max="11" width="11.77734375" bestFit="1" customWidth="1"/>
    <col min="12" max="13" width="13.21875" bestFit="1" customWidth="1"/>
    <col min="14" max="14" width="13.21875" customWidth="1"/>
    <col min="15" max="15" width="10.44140625" bestFit="1" customWidth="1"/>
    <col min="16" max="16" width="8.88671875" customWidth="1"/>
    <col min="17" max="17" width="10" bestFit="1" customWidth="1"/>
    <col min="18" max="18" width="9.44140625" bestFit="1" customWidth="1"/>
    <col min="19" max="19" width="15" bestFit="1" customWidth="1"/>
    <col min="20" max="20" width="13.109375" bestFit="1" customWidth="1"/>
    <col min="21" max="21" width="13.44140625" bestFit="1" customWidth="1"/>
    <col min="22" max="22" width="13.5546875" bestFit="1" customWidth="1"/>
    <col min="23" max="23" width="15.77734375" bestFit="1" customWidth="1"/>
    <col min="24" max="24" width="15.88671875" bestFit="1" customWidth="1"/>
    <col min="25" max="31" width="13.109375" customWidth="1"/>
    <col min="32" max="32" width="11.109375" bestFit="1" customWidth="1"/>
    <col min="33" max="33" width="14.33203125" bestFit="1" customWidth="1"/>
    <col min="34" max="34" width="9" bestFit="1" customWidth="1"/>
    <col min="35" max="35" width="7.88671875" bestFit="1" customWidth="1"/>
    <col min="36" max="36" width="13.88671875" bestFit="1" customWidth="1"/>
    <col min="37" max="37" width="12.6640625" bestFit="1" customWidth="1"/>
    <col min="38" max="38" width="10.5546875" bestFit="1" customWidth="1"/>
    <col min="39" max="39" width="9.44140625" bestFit="1" customWidth="1"/>
    <col min="40" max="40" width="9.109375" customWidth="1"/>
  </cols>
  <sheetData>
    <row r="1" spans="1:41" s="1" customFormat="1" ht="15.75" x14ac:dyDescent="0.25">
      <c r="A1" s="1" t="s">
        <v>0</v>
      </c>
      <c r="B1" s="1" t="s">
        <v>71</v>
      </c>
      <c r="C1" s="1" t="s">
        <v>173</v>
      </c>
      <c r="D1" s="1" t="s">
        <v>101</v>
      </c>
      <c r="E1" s="1" t="s">
        <v>127</v>
      </c>
      <c r="F1" s="1" t="s">
        <v>1</v>
      </c>
      <c r="G1" s="1" t="s">
        <v>8</v>
      </c>
      <c r="H1" s="1" t="s">
        <v>76</v>
      </c>
      <c r="I1" s="1" t="s">
        <v>77</v>
      </c>
      <c r="J1" s="1" t="s">
        <v>142</v>
      </c>
      <c r="K1" s="1" t="s">
        <v>141</v>
      </c>
      <c r="L1" s="1" t="s">
        <v>115</v>
      </c>
      <c r="M1" s="1" t="s">
        <v>116</v>
      </c>
      <c r="N1" s="1" t="s">
        <v>117</v>
      </c>
      <c r="O1" s="1" t="s">
        <v>2</v>
      </c>
      <c r="P1" s="1" t="s">
        <v>3</v>
      </c>
      <c r="Q1" s="1" t="s">
        <v>4</v>
      </c>
      <c r="R1" s="1" t="s">
        <v>5</v>
      </c>
      <c r="S1" s="1" t="s">
        <v>6</v>
      </c>
      <c r="T1" s="1" t="s">
        <v>7</v>
      </c>
      <c r="U1" s="1" t="s">
        <v>175</v>
      </c>
      <c r="V1" s="1" t="s">
        <v>176</v>
      </c>
      <c r="W1" s="1" t="s">
        <v>177</v>
      </c>
      <c r="X1" s="1" t="s">
        <v>178</v>
      </c>
      <c r="Y1" s="1" t="s">
        <v>179</v>
      </c>
      <c r="Z1" s="1" t="s">
        <v>180</v>
      </c>
      <c r="AA1" s="1" t="s">
        <v>181</v>
      </c>
      <c r="AB1" s="1" t="s">
        <v>182</v>
      </c>
      <c r="AC1" s="1" t="s">
        <v>183</v>
      </c>
      <c r="AD1" s="1" t="s">
        <v>184</v>
      </c>
      <c r="AE1" s="1" t="s">
        <v>185</v>
      </c>
      <c r="AF1" s="1" t="s">
        <v>186</v>
      </c>
      <c r="AG1" s="1" t="s">
        <v>78</v>
      </c>
      <c r="AH1" s="1" t="s">
        <v>163</v>
      </c>
      <c r="AI1" s="1" t="s">
        <v>166</v>
      </c>
      <c r="AJ1" s="1" t="s">
        <v>164</v>
      </c>
      <c r="AK1" s="1" t="s">
        <v>167</v>
      </c>
      <c r="AL1" s="1" t="s">
        <v>165</v>
      </c>
      <c r="AM1" s="1" t="s">
        <v>168</v>
      </c>
      <c r="AN1" s="1" t="s">
        <v>206</v>
      </c>
      <c r="AO1" s="1" t="s">
        <v>204</v>
      </c>
    </row>
    <row r="2" spans="1:41" x14ac:dyDescent="0.2">
      <c r="A2" t="s">
        <v>63</v>
      </c>
      <c r="B2" t="s">
        <v>75</v>
      </c>
      <c r="C2" s="4" t="s">
        <v>114</v>
      </c>
      <c r="D2" s="4" t="s">
        <v>102</v>
      </c>
      <c r="E2" s="2">
        <v>3</v>
      </c>
      <c r="F2" s="6">
        <v>3</v>
      </c>
      <c r="G2" s="3">
        <v>43019</v>
      </c>
      <c r="H2" s="3">
        <v>53976</v>
      </c>
      <c r="I2" t="s">
        <v>96</v>
      </c>
      <c r="J2">
        <v>30</v>
      </c>
      <c r="K2" s="2">
        <v>4.125</v>
      </c>
      <c r="L2" s="6">
        <v>61.814</v>
      </c>
      <c r="M2" s="6">
        <v>118.312</v>
      </c>
      <c r="N2">
        <v>5.7329999999999997</v>
      </c>
      <c r="AG2" t="s">
        <v>91</v>
      </c>
      <c r="AH2" t="s">
        <v>91</v>
      </c>
      <c r="AI2">
        <v>3</v>
      </c>
      <c r="AJ2" t="s">
        <v>161</v>
      </c>
      <c r="AK2">
        <v>3</v>
      </c>
      <c r="AL2" t="s">
        <v>91</v>
      </c>
      <c r="AM2">
        <v>3</v>
      </c>
      <c r="AN2">
        <v>8.5869999999999997</v>
      </c>
      <c r="AO2">
        <v>0</v>
      </c>
    </row>
    <row r="3" spans="1:41" x14ac:dyDescent="0.2">
      <c r="A3" t="s">
        <v>63</v>
      </c>
      <c r="B3" t="s">
        <v>75</v>
      </c>
      <c r="C3" s="4" t="s">
        <v>93</v>
      </c>
      <c r="D3" s="4" t="s">
        <v>102</v>
      </c>
      <c r="E3" s="2">
        <v>4.0999999999999996</v>
      </c>
      <c r="F3" s="6">
        <v>4.0999999999999996</v>
      </c>
      <c r="G3" s="3">
        <v>43019</v>
      </c>
      <c r="H3" s="3">
        <v>53976</v>
      </c>
      <c r="I3" s="3" t="s">
        <v>96</v>
      </c>
      <c r="J3">
        <v>30</v>
      </c>
      <c r="K3">
        <v>4.125</v>
      </c>
      <c r="L3">
        <v>18.963999999999999</v>
      </c>
      <c r="M3" s="2">
        <v>40.911999999999999</v>
      </c>
      <c r="N3" s="6">
        <v>4.3010000000000002</v>
      </c>
      <c r="O3" s="6"/>
      <c r="AG3" t="s">
        <v>91</v>
      </c>
      <c r="AH3" t="s">
        <v>91</v>
      </c>
      <c r="AI3">
        <v>3</v>
      </c>
      <c r="AJ3" t="s">
        <v>161</v>
      </c>
      <c r="AK3">
        <v>3</v>
      </c>
      <c r="AL3" t="s">
        <v>91</v>
      </c>
      <c r="AM3">
        <v>3</v>
      </c>
      <c r="AN3">
        <v>0.93400000000000005</v>
      </c>
      <c r="AO3">
        <v>0</v>
      </c>
    </row>
    <row r="4" spans="1:41" x14ac:dyDescent="0.2">
      <c r="A4" t="s">
        <v>11</v>
      </c>
      <c r="B4" t="s">
        <v>72</v>
      </c>
      <c r="C4" s="4" t="s">
        <v>202</v>
      </c>
      <c r="D4" s="4" t="s">
        <v>102</v>
      </c>
      <c r="E4" s="2">
        <v>750</v>
      </c>
      <c r="F4" s="6">
        <v>750</v>
      </c>
      <c r="G4" s="3">
        <v>40610</v>
      </c>
      <c r="H4" s="3">
        <v>51568</v>
      </c>
      <c r="I4" t="s">
        <v>96</v>
      </c>
      <c r="J4">
        <v>30</v>
      </c>
      <c r="K4" s="2">
        <v>6.25</v>
      </c>
      <c r="L4" s="6">
        <v>251.792</v>
      </c>
      <c r="M4" s="6">
        <v>260.81099999999998</v>
      </c>
      <c r="N4">
        <v>7.0670000000000002</v>
      </c>
      <c r="O4" s="2">
        <v>31.185362999999999</v>
      </c>
      <c r="P4" s="2">
        <v>4.5405984880241741</v>
      </c>
      <c r="Q4" s="2">
        <v>3.0397460000000001</v>
      </c>
      <c r="R4" s="2">
        <v>3.549061</v>
      </c>
      <c r="S4" s="2">
        <v>-1.3360989999999999</v>
      </c>
      <c r="T4" s="2">
        <v>-4.514151</v>
      </c>
      <c r="U4" s="2">
        <v>9.3302999999999997E-2</v>
      </c>
      <c r="V4" s="2">
        <v>49.743423399999998</v>
      </c>
      <c r="W4" s="2">
        <v>0.27197860000000001</v>
      </c>
      <c r="X4" s="2">
        <v>56.628835899999999</v>
      </c>
      <c r="Y4" s="2">
        <v>-5.2232999999999898E-2</v>
      </c>
      <c r="Z4" s="2">
        <v>65.002169999999992</v>
      </c>
      <c r="AA4" s="2">
        <v>0.70341609999999999</v>
      </c>
      <c r="AB4" s="2">
        <v>65.9566631</v>
      </c>
      <c r="AC4" s="2">
        <v>6.5012E-2</v>
      </c>
      <c r="AD4" s="2">
        <v>58.083612599999995</v>
      </c>
      <c r="AE4" s="2">
        <v>0.62488589999999999</v>
      </c>
      <c r="AF4" s="2">
        <v>67.786298000000002</v>
      </c>
      <c r="AG4" t="s">
        <v>80</v>
      </c>
      <c r="AH4" t="s">
        <v>80</v>
      </c>
      <c r="AI4">
        <v>13</v>
      </c>
      <c r="AJ4" t="s">
        <v>144</v>
      </c>
      <c r="AK4">
        <v>7</v>
      </c>
      <c r="AL4" t="s">
        <v>113</v>
      </c>
      <c r="AM4">
        <v>8</v>
      </c>
      <c r="AN4">
        <v>9.641</v>
      </c>
      <c r="AO4">
        <v>0</v>
      </c>
    </row>
    <row r="5" spans="1:41" x14ac:dyDescent="0.2">
      <c r="A5" t="s">
        <v>17</v>
      </c>
      <c r="B5" t="s">
        <v>72</v>
      </c>
      <c r="C5" s="4" t="s">
        <v>114</v>
      </c>
      <c r="D5" s="4" t="s">
        <v>102</v>
      </c>
      <c r="E5" s="2">
        <v>1.75</v>
      </c>
      <c r="F5" s="6">
        <v>1.75</v>
      </c>
      <c r="G5" s="3">
        <v>43229</v>
      </c>
      <c r="H5" s="3">
        <v>46882</v>
      </c>
      <c r="I5" t="s">
        <v>96</v>
      </c>
      <c r="J5">
        <v>10</v>
      </c>
      <c r="K5" s="2">
        <v>8.25</v>
      </c>
      <c r="L5" s="6">
        <v>283.19799999999998</v>
      </c>
      <c r="M5" s="6">
        <v>314.20600000000002</v>
      </c>
      <c r="N5">
        <v>6.99</v>
      </c>
      <c r="O5" s="2">
        <v>59.607196999999999</v>
      </c>
      <c r="P5" s="2">
        <v>5.8181869184485775</v>
      </c>
      <c r="Q5" s="2">
        <v>-0.14000000000000001</v>
      </c>
      <c r="R5" s="2">
        <v>23.666550000000001</v>
      </c>
      <c r="S5" s="2">
        <v>-0.44596200000000003</v>
      </c>
      <c r="T5" s="2">
        <v>-5.6827209999999999</v>
      </c>
      <c r="U5" s="2">
        <v>-1.4208092999999999</v>
      </c>
      <c r="V5" s="2">
        <v>19.095466999999999</v>
      </c>
      <c r="W5" s="2">
        <v>-0.96811569999999902</v>
      </c>
      <c r="X5" s="2">
        <v>32.516417499999996</v>
      </c>
      <c r="Y5" s="2">
        <v>-0.53721449999999904</v>
      </c>
      <c r="Z5" s="2">
        <v>56.717909899999995</v>
      </c>
      <c r="AA5" s="2">
        <v>-1.1799884999999899</v>
      </c>
      <c r="AB5" s="2">
        <v>36.252696899999997</v>
      </c>
      <c r="AC5" s="2">
        <v>-1.3317055</v>
      </c>
      <c r="AD5" s="2">
        <v>34.0451221</v>
      </c>
      <c r="AE5" s="2">
        <v>-1.131561</v>
      </c>
      <c r="AF5" s="2">
        <v>37.044105399999999</v>
      </c>
      <c r="AG5" t="s">
        <v>79</v>
      </c>
      <c r="AH5" t="s">
        <v>79</v>
      </c>
      <c r="AI5">
        <v>16</v>
      </c>
      <c r="AJ5" t="s">
        <v>143</v>
      </c>
      <c r="AK5">
        <v>16</v>
      </c>
      <c r="AL5" t="s">
        <v>93</v>
      </c>
      <c r="AM5">
        <v>15</v>
      </c>
      <c r="AN5">
        <v>3.2290000000000001</v>
      </c>
      <c r="AO5">
        <v>0</v>
      </c>
    </row>
    <row r="6" spans="1:41" x14ac:dyDescent="0.2">
      <c r="A6" t="s">
        <v>17</v>
      </c>
      <c r="B6" t="s">
        <v>72</v>
      </c>
      <c r="C6" s="4" t="s">
        <v>93</v>
      </c>
      <c r="D6" s="4" t="s">
        <v>102</v>
      </c>
      <c r="E6" s="2">
        <v>1.75</v>
      </c>
      <c r="F6" s="6">
        <v>1.75</v>
      </c>
      <c r="G6" s="3">
        <v>43229</v>
      </c>
      <c r="H6" s="3">
        <v>54186</v>
      </c>
      <c r="I6" s="3" t="s">
        <v>96</v>
      </c>
      <c r="J6">
        <v>30</v>
      </c>
      <c r="K6">
        <v>9.375</v>
      </c>
      <c r="L6">
        <v>451.178</v>
      </c>
      <c r="M6" s="2">
        <v>519.58100000000002</v>
      </c>
      <c r="N6" s="6">
        <v>9.6419999999999995</v>
      </c>
      <c r="O6" s="2">
        <v>59.607196999999999</v>
      </c>
      <c r="P6" s="2">
        <v>5.8181869184485775</v>
      </c>
      <c r="Q6" s="2">
        <v>-0.14000000000000001</v>
      </c>
      <c r="R6" s="2">
        <v>23.666550000000001</v>
      </c>
      <c r="S6" s="2">
        <v>-0.44596200000000003</v>
      </c>
      <c r="T6" s="2">
        <v>-5.6827209999999999</v>
      </c>
      <c r="U6" s="2">
        <v>-1.4208092999999999</v>
      </c>
      <c r="V6" s="2">
        <v>19.095466999999999</v>
      </c>
      <c r="W6" s="2">
        <v>-0.96811569999999902</v>
      </c>
      <c r="X6" s="2">
        <v>32.516417499999996</v>
      </c>
      <c r="Y6" s="2">
        <v>-0.53721449999999904</v>
      </c>
      <c r="Z6" s="2">
        <v>56.717909899999995</v>
      </c>
      <c r="AA6" s="2">
        <v>-1.1799884999999899</v>
      </c>
      <c r="AB6" s="2">
        <v>36.252696899999997</v>
      </c>
      <c r="AC6" s="2">
        <v>-1.3317055</v>
      </c>
      <c r="AD6" s="2">
        <v>34.0451221</v>
      </c>
      <c r="AE6" s="2">
        <v>-1.131561</v>
      </c>
      <c r="AF6" s="2">
        <v>37.044105399999999</v>
      </c>
      <c r="AG6" t="s">
        <v>79</v>
      </c>
      <c r="AH6" t="s">
        <v>79</v>
      </c>
      <c r="AI6">
        <v>16</v>
      </c>
      <c r="AJ6" t="s">
        <v>143</v>
      </c>
      <c r="AK6">
        <v>16</v>
      </c>
      <c r="AL6" t="s">
        <v>93</v>
      </c>
      <c r="AM6">
        <v>15</v>
      </c>
      <c r="AN6" s="2">
        <v>10.987</v>
      </c>
      <c r="AO6">
        <v>0</v>
      </c>
    </row>
    <row r="7" spans="1:41" x14ac:dyDescent="0.2">
      <c r="A7" t="s">
        <v>62</v>
      </c>
      <c r="B7" t="s">
        <v>75</v>
      </c>
      <c r="C7" s="4" t="s">
        <v>114</v>
      </c>
      <c r="D7" s="4" t="s">
        <v>102</v>
      </c>
      <c r="E7" s="2">
        <v>5</v>
      </c>
      <c r="F7" s="6">
        <v>5</v>
      </c>
      <c r="G7" s="3">
        <v>43012</v>
      </c>
      <c r="H7" s="3">
        <v>46816</v>
      </c>
      <c r="I7" s="3" t="s">
        <v>96</v>
      </c>
      <c r="J7">
        <v>10</v>
      </c>
      <c r="K7">
        <v>3.625</v>
      </c>
      <c r="L7">
        <v>51.084000000000003</v>
      </c>
      <c r="M7" s="2">
        <v>65.558000000000007</v>
      </c>
      <c r="N7" s="6">
        <v>4.6269999999999998</v>
      </c>
      <c r="O7" s="2">
        <v>12.247766</v>
      </c>
      <c r="P7" s="2">
        <v>31.69618911399364</v>
      </c>
      <c r="Q7" s="2">
        <v>1.704075</v>
      </c>
      <c r="R7" s="2">
        <v>1.812792</v>
      </c>
      <c r="S7" s="2">
        <v>-3.9126509999999999</v>
      </c>
      <c r="T7" s="2">
        <v>-13.194934</v>
      </c>
      <c r="U7" s="2">
        <v>0.12038489999999999</v>
      </c>
      <c r="V7" s="2">
        <v>50.291602599999997</v>
      </c>
      <c r="W7" s="2">
        <v>0.28187879999999998</v>
      </c>
      <c r="X7" s="2">
        <v>56.821335499999996</v>
      </c>
      <c r="Y7" s="2">
        <v>-0.50590849999999998</v>
      </c>
      <c r="Z7" s="2">
        <v>57.252666499999997</v>
      </c>
      <c r="AA7" s="2">
        <v>0.1880057</v>
      </c>
      <c r="AB7" s="2">
        <v>57.827908899999997</v>
      </c>
      <c r="AC7" s="2">
        <v>-0.19998159999999901</v>
      </c>
      <c r="AD7" s="2">
        <v>53.522886399999997</v>
      </c>
      <c r="AE7" s="2">
        <v>-1.5943517999999901</v>
      </c>
      <c r="AF7" s="2">
        <v>28.944114599999999</v>
      </c>
      <c r="AG7" t="s">
        <v>88</v>
      </c>
      <c r="AH7" t="s">
        <v>88</v>
      </c>
      <c r="AI7">
        <v>5</v>
      </c>
      <c r="AJ7" t="s">
        <v>145</v>
      </c>
      <c r="AK7">
        <v>5</v>
      </c>
      <c r="AL7" t="s">
        <v>88</v>
      </c>
      <c r="AM7">
        <v>5</v>
      </c>
      <c r="AN7" s="2">
        <v>1.157</v>
      </c>
      <c r="AO7">
        <v>0</v>
      </c>
    </row>
    <row r="8" spans="1:41" x14ac:dyDescent="0.2">
      <c r="A8" t="s">
        <v>62</v>
      </c>
      <c r="B8" t="s">
        <v>75</v>
      </c>
      <c r="C8" s="4" t="s">
        <v>93</v>
      </c>
      <c r="D8" s="4" t="s">
        <v>102</v>
      </c>
      <c r="E8" s="2">
        <v>4.5</v>
      </c>
      <c r="F8" s="6">
        <v>4.5</v>
      </c>
      <c r="G8" s="3">
        <v>43012</v>
      </c>
      <c r="H8" s="3">
        <v>53969</v>
      </c>
      <c r="I8" t="s">
        <v>96</v>
      </c>
      <c r="J8">
        <v>30</v>
      </c>
      <c r="K8" s="2">
        <v>4.625</v>
      </c>
      <c r="L8" s="6">
        <v>96.27</v>
      </c>
      <c r="M8" s="6">
        <v>145.9</v>
      </c>
      <c r="N8">
        <v>6.05</v>
      </c>
      <c r="O8" s="2">
        <v>12.247766</v>
      </c>
      <c r="P8" s="2">
        <v>31.69618911399364</v>
      </c>
      <c r="Q8" s="2">
        <v>1.704075</v>
      </c>
      <c r="R8" s="2">
        <v>1.812792</v>
      </c>
      <c r="S8" s="2">
        <v>-3.9126509999999999</v>
      </c>
      <c r="T8" s="2">
        <v>-13.194934</v>
      </c>
      <c r="U8" s="2">
        <v>0.12038489999999999</v>
      </c>
      <c r="V8" s="2">
        <v>50.291602599999997</v>
      </c>
      <c r="W8" s="2">
        <v>0.28187879999999998</v>
      </c>
      <c r="X8" s="2">
        <v>56.821335499999996</v>
      </c>
      <c r="Y8" s="2">
        <v>-0.50590849999999998</v>
      </c>
      <c r="Z8" s="2">
        <v>57.252666499999997</v>
      </c>
      <c r="AA8" s="2">
        <v>0.1880057</v>
      </c>
      <c r="AB8" s="2">
        <v>57.827908899999997</v>
      </c>
      <c r="AC8" s="2">
        <v>-0.19998159999999901</v>
      </c>
      <c r="AD8" s="2">
        <v>53.522886399999997</v>
      </c>
      <c r="AE8" s="2">
        <v>-1.5943517999999901</v>
      </c>
      <c r="AF8" s="2">
        <v>28.944114599999999</v>
      </c>
      <c r="AG8" t="s">
        <v>88</v>
      </c>
      <c r="AH8" t="s">
        <v>88</v>
      </c>
      <c r="AI8">
        <v>5</v>
      </c>
      <c r="AJ8" t="s">
        <v>145</v>
      </c>
      <c r="AK8">
        <v>5</v>
      </c>
      <c r="AL8" t="s">
        <v>88</v>
      </c>
      <c r="AM8">
        <v>5</v>
      </c>
      <c r="AN8">
        <v>6.9950000000000001</v>
      </c>
      <c r="AO8">
        <v>0</v>
      </c>
    </row>
    <row r="9" spans="1:41" x14ac:dyDescent="0.2">
      <c r="A9" t="s">
        <v>23</v>
      </c>
      <c r="B9" t="s">
        <v>74</v>
      </c>
      <c r="C9" s="4" t="s">
        <v>202</v>
      </c>
      <c r="D9" s="4" t="s">
        <v>102</v>
      </c>
      <c r="E9" s="2">
        <v>12.49</v>
      </c>
      <c r="F9" s="6">
        <v>12.49</v>
      </c>
      <c r="G9" s="3">
        <v>34066</v>
      </c>
      <c r="H9" s="3">
        <v>45016</v>
      </c>
      <c r="I9" t="s">
        <v>98</v>
      </c>
      <c r="J9">
        <v>29</v>
      </c>
      <c r="K9" s="2">
        <v>6</v>
      </c>
      <c r="L9" s="6"/>
      <c r="M9" s="6"/>
      <c r="O9" s="2">
        <v>24.960986999999999</v>
      </c>
      <c r="P9" s="2">
        <v>5.7050610727832129</v>
      </c>
      <c r="Q9" s="2">
        <v>10.299306</v>
      </c>
      <c r="R9" s="2"/>
      <c r="S9" s="2">
        <v>-2.5286659999999999</v>
      </c>
      <c r="T9" s="2">
        <v>0.26</v>
      </c>
      <c r="U9" s="8">
        <v>-0.22484089999999901</v>
      </c>
      <c r="V9" s="8">
        <v>43.303702600000001</v>
      </c>
      <c r="W9" s="8">
        <v>0.19945739999999998</v>
      </c>
      <c r="X9" s="8">
        <v>55.218732199999998</v>
      </c>
      <c r="Y9" s="8">
        <v>2.9370499999999997E-2</v>
      </c>
      <c r="Z9" s="8">
        <v>66.396088399999996</v>
      </c>
      <c r="AA9" s="8">
        <v>0.23517299999999999</v>
      </c>
      <c r="AB9" s="8">
        <v>58.571804199999995</v>
      </c>
      <c r="AC9" s="8">
        <v>0.1293667</v>
      </c>
      <c r="AD9" s="8">
        <v>59.1912023</v>
      </c>
      <c r="AE9" s="8">
        <v>0.43291949999999996</v>
      </c>
      <c r="AF9" s="8">
        <v>64.426408199999997</v>
      </c>
      <c r="AG9" t="s">
        <v>82</v>
      </c>
      <c r="AH9" t="s">
        <v>80</v>
      </c>
      <c r="AI9">
        <v>13</v>
      </c>
      <c r="AJ9" t="s">
        <v>148</v>
      </c>
      <c r="AK9">
        <v>14</v>
      </c>
      <c r="AO9">
        <v>0</v>
      </c>
    </row>
    <row r="10" spans="1:41" x14ac:dyDescent="0.2">
      <c r="A10" t="s">
        <v>42</v>
      </c>
      <c r="B10" t="s">
        <v>74</v>
      </c>
      <c r="C10" s="4" t="s">
        <v>202</v>
      </c>
      <c r="D10" s="4" t="s">
        <v>102</v>
      </c>
      <c r="E10" s="2">
        <v>125</v>
      </c>
      <c r="F10" s="6">
        <v>125</v>
      </c>
      <c r="G10" s="3">
        <v>43320</v>
      </c>
      <c r="H10" s="3">
        <v>47149</v>
      </c>
      <c r="I10" t="s">
        <v>96</v>
      </c>
      <c r="J10">
        <v>10</v>
      </c>
      <c r="K10" s="2">
        <v>6.5</v>
      </c>
      <c r="L10" s="6">
        <v>536.66200000000003</v>
      </c>
      <c r="M10" s="6"/>
      <c r="N10">
        <v>9.5419999999999998</v>
      </c>
      <c r="O10" s="2">
        <v>75.825041999999996</v>
      </c>
      <c r="P10" s="2">
        <v>4.8016932226478746</v>
      </c>
      <c r="Q10" s="2">
        <v>3.4933809999999998</v>
      </c>
      <c r="R10" s="2">
        <v>-0.46246500000000001</v>
      </c>
      <c r="S10" s="2">
        <v>0.95883499999999999</v>
      </c>
      <c r="T10" s="2">
        <v>-2.5870199999999999</v>
      </c>
      <c r="U10" s="2">
        <v>1.1613217999999998</v>
      </c>
      <c r="V10" s="2">
        <v>71.361762799999994</v>
      </c>
      <c r="W10" s="2">
        <v>0.69583629999999996</v>
      </c>
      <c r="X10" s="2">
        <v>64.870333500000001</v>
      </c>
      <c r="Y10" s="2">
        <v>1.2066650999999999</v>
      </c>
      <c r="Z10" s="2">
        <v>86.506164299999995</v>
      </c>
      <c r="AA10" s="2">
        <v>1.2660605</v>
      </c>
      <c r="AB10" s="2">
        <v>74.830364599999996</v>
      </c>
      <c r="AC10" s="2">
        <v>1.2924686999999999</v>
      </c>
      <c r="AD10" s="2">
        <v>79.209005699999992</v>
      </c>
      <c r="AE10" s="2">
        <v>1.3881097999999998</v>
      </c>
      <c r="AF10" s="2">
        <v>81.144615899999991</v>
      </c>
      <c r="AG10" t="s">
        <v>82</v>
      </c>
      <c r="AH10" t="s">
        <v>113</v>
      </c>
      <c r="AI10">
        <v>8</v>
      </c>
      <c r="AL10" t="s">
        <v>92</v>
      </c>
      <c r="AM10">
        <v>10</v>
      </c>
      <c r="AN10">
        <v>4.976</v>
      </c>
      <c r="AO10">
        <v>0</v>
      </c>
    </row>
    <row r="11" spans="1:41" x14ac:dyDescent="0.2">
      <c r="A11" t="s">
        <v>36</v>
      </c>
      <c r="B11" t="s">
        <v>74</v>
      </c>
      <c r="C11" s="4" t="s">
        <v>202</v>
      </c>
      <c r="D11" s="4" t="s">
        <v>102</v>
      </c>
      <c r="E11" s="2">
        <v>100</v>
      </c>
      <c r="F11" s="6">
        <v>100</v>
      </c>
      <c r="G11" s="3">
        <v>39540</v>
      </c>
      <c r="H11" s="3">
        <v>50497</v>
      </c>
      <c r="I11" t="s">
        <v>96</v>
      </c>
      <c r="J11">
        <v>30</v>
      </c>
      <c r="K11" s="2">
        <v>7.125</v>
      </c>
      <c r="L11" s="6">
        <v>343.44099999999997</v>
      </c>
      <c r="M11" s="6">
        <v>360.08699999999999</v>
      </c>
      <c r="N11">
        <v>8.0250000000000004</v>
      </c>
      <c r="O11" s="2">
        <v>23.489799000000001</v>
      </c>
      <c r="P11" s="2">
        <v>1.1399793511475205</v>
      </c>
      <c r="Q11" s="2">
        <v>1.4465250000000001</v>
      </c>
      <c r="R11" s="2">
        <v>2.6968719999999999</v>
      </c>
      <c r="S11" s="2">
        <v>-8.9870520000000003</v>
      </c>
      <c r="T11" s="2">
        <v>-0.77304499999999998</v>
      </c>
      <c r="U11" s="2">
        <v>1.3222897</v>
      </c>
      <c r="V11" s="2">
        <v>74.620000099999999</v>
      </c>
      <c r="W11" s="2">
        <v>1.1305946</v>
      </c>
      <c r="X11" s="2">
        <v>73.323782600000001</v>
      </c>
      <c r="Y11" s="2">
        <v>0.68412319999999993</v>
      </c>
      <c r="Z11" s="2">
        <v>77.580312399999997</v>
      </c>
      <c r="AA11" s="2">
        <v>1.1818715</v>
      </c>
      <c r="AB11" s="2">
        <v>73.502584400000003</v>
      </c>
      <c r="AC11" s="2">
        <v>1.3896651</v>
      </c>
      <c r="AD11" s="2">
        <v>80.881824100000003</v>
      </c>
      <c r="AE11" s="2">
        <v>1.1150100000000001</v>
      </c>
      <c r="AF11" s="2">
        <v>76.364689599999991</v>
      </c>
      <c r="AG11" t="s">
        <v>80</v>
      </c>
      <c r="AH11" t="s">
        <v>90</v>
      </c>
      <c r="AI11">
        <v>7</v>
      </c>
      <c r="AJ11" t="s">
        <v>144</v>
      </c>
      <c r="AK11">
        <v>7</v>
      </c>
      <c r="AN11">
        <v>2.5059999999999998</v>
      </c>
      <c r="AO11">
        <v>0</v>
      </c>
    </row>
    <row r="12" spans="1:41" x14ac:dyDescent="0.2">
      <c r="A12" t="s">
        <v>61</v>
      </c>
      <c r="B12" t="s">
        <v>75</v>
      </c>
      <c r="C12" s="4" t="s">
        <v>202</v>
      </c>
      <c r="D12" s="4" t="s">
        <v>102</v>
      </c>
      <c r="E12" s="2">
        <v>900</v>
      </c>
      <c r="F12" s="6">
        <v>900</v>
      </c>
      <c r="G12" s="3">
        <v>42998</v>
      </c>
      <c r="H12" s="3">
        <v>53955</v>
      </c>
      <c r="I12" t="s">
        <v>96</v>
      </c>
      <c r="J12">
        <v>30</v>
      </c>
      <c r="K12" s="2">
        <v>7.5</v>
      </c>
      <c r="L12" s="6">
        <v>261.279</v>
      </c>
      <c r="M12" s="6">
        <v>325.90600000000001</v>
      </c>
      <c r="N12">
        <v>7.7060000000000004</v>
      </c>
      <c r="O12" s="2">
        <v>77.366286000000002</v>
      </c>
      <c r="P12" s="2">
        <v>1.2463958315058739</v>
      </c>
      <c r="Q12" s="2">
        <v>3.8149929999999999</v>
      </c>
      <c r="R12" s="2">
        <v>2.3035519999999998</v>
      </c>
      <c r="S12" s="2">
        <v>-4.4055869999999997</v>
      </c>
      <c r="T12" s="2">
        <v>-16.579139999999999</v>
      </c>
      <c r="U12" s="2">
        <v>-8.7735499999999994E-2</v>
      </c>
      <c r="V12" s="2">
        <v>46.078926299999999</v>
      </c>
      <c r="W12" s="2">
        <v>0.42265349999999996</v>
      </c>
      <c r="X12" s="2">
        <v>59.558561599999997</v>
      </c>
      <c r="Y12" s="2">
        <v>-0.90980719999999904</v>
      </c>
      <c r="Z12" s="2">
        <v>50.353430299999999</v>
      </c>
      <c r="AA12" s="2">
        <v>0.53388139999999995</v>
      </c>
      <c r="AB12" s="2">
        <v>63.282859999999999</v>
      </c>
      <c r="AC12" s="2">
        <v>-2.3025299999999999E-2</v>
      </c>
      <c r="AD12" s="2">
        <v>56.5684288</v>
      </c>
      <c r="AE12" s="2">
        <v>-1.178604</v>
      </c>
      <c r="AF12" s="2">
        <v>36.220735900000001</v>
      </c>
      <c r="AG12" t="s">
        <v>93</v>
      </c>
      <c r="AH12" t="s">
        <v>93</v>
      </c>
      <c r="AI12">
        <v>15</v>
      </c>
      <c r="AJ12" t="s">
        <v>148</v>
      </c>
      <c r="AK12">
        <v>14</v>
      </c>
      <c r="AL12" t="s">
        <v>81</v>
      </c>
      <c r="AM12">
        <v>11</v>
      </c>
      <c r="AN12">
        <v>8.02</v>
      </c>
      <c r="AO12">
        <v>0</v>
      </c>
    </row>
    <row r="13" spans="1:41" x14ac:dyDescent="0.2">
      <c r="A13" t="s">
        <v>43</v>
      </c>
      <c r="B13" t="s">
        <v>74</v>
      </c>
      <c r="C13" s="4" t="s">
        <v>202</v>
      </c>
      <c r="D13" s="4" t="s">
        <v>102</v>
      </c>
      <c r="E13" s="2">
        <v>530.6</v>
      </c>
      <c r="F13" s="6">
        <v>530.6</v>
      </c>
      <c r="G13" s="3">
        <v>43810</v>
      </c>
      <c r="H13" s="3">
        <v>47392</v>
      </c>
      <c r="I13" t="s">
        <v>95</v>
      </c>
      <c r="J13">
        <v>9</v>
      </c>
      <c r="K13" s="2">
        <v>6.5</v>
      </c>
      <c r="L13" s="6">
        <v>222.423</v>
      </c>
      <c r="M13" s="6">
        <v>214.828</v>
      </c>
      <c r="N13">
        <v>6.4690000000000003</v>
      </c>
      <c r="O13" s="2">
        <v>107.16224</v>
      </c>
      <c r="P13" s="2">
        <v>1.2564051086618868</v>
      </c>
      <c r="Q13" s="2">
        <v>-0.25208599999999998</v>
      </c>
      <c r="R13" s="2">
        <v>-0.94648600000000005</v>
      </c>
      <c r="S13" s="2">
        <v>-3.356671</v>
      </c>
      <c r="T13" s="2">
        <v>-0.32118400000000003</v>
      </c>
      <c r="U13" s="2">
        <v>1.1350977</v>
      </c>
      <c r="V13" s="2">
        <v>70.830946799999992</v>
      </c>
      <c r="W13" s="2">
        <v>0.97904789999999997</v>
      </c>
      <c r="X13" s="2">
        <v>70.377105499999999</v>
      </c>
      <c r="Y13" s="2">
        <v>0.80028029999999994</v>
      </c>
      <c r="Z13" s="2">
        <v>79.564461600000001</v>
      </c>
      <c r="AA13" s="2">
        <v>0.42215769999999997</v>
      </c>
      <c r="AB13" s="2">
        <v>61.520818499999997</v>
      </c>
      <c r="AC13" s="2">
        <v>0.8225751</v>
      </c>
      <c r="AD13" s="2">
        <v>71.121806399999997</v>
      </c>
      <c r="AE13" s="2">
        <v>0.94554669999999996</v>
      </c>
      <c r="AF13" s="2">
        <v>73.398660100000001</v>
      </c>
      <c r="AG13" t="s">
        <v>85</v>
      </c>
      <c r="AH13" t="s">
        <v>85</v>
      </c>
      <c r="AI13">
        <v>14</v>
      </c>
      <c r="AJ13" t="s">
        <v>149</v>
      </c>
      <c r="AK13">
        <v>17</v>
      </c>
      <c r="AN13">
        <v>0.81299999999999994</v>
      </c>
      <c r="AO13">
        <v>0</v>
      </c>
    </row>
    <row r="14" spans="1:41" x14ac:dyDescent="0.2">
      <c r="A14" t="s">
        <v>31</v>
      </c>
      <c r="B14" t="s">
        <v>74</v>
      </c>
      <c r="C14" s="4" t="s">
        <v>202</v>
      </c>
      <c r="D14" s="4" t="s">
        <v>102</v>
      </c>
      <c r="E14" s="2">
        <v>100</v>
      </c>
      <c r="F14" s="6">
        <v>100</v>
      </c>
      <c r="G14" s="3">
        <v>37784</v>
      </c>
      <c r="H14" s="3">
        <v>47442</v>
      </c>
      <c r="I14" t="s">
        <v>99</v>
      </c>
      <c r="J14">
        <v>26</v>
      </c>
      <c r="K14" s="2">
        <v>8.5</v>
      </c>
      <c r="L14" s="6">
        <v>299.49700000000001</v>
      </c>
      <c r="M14" s="6">
        <v>340.6</v>
      </c>
      <c r="N14">
        <v>7.601</v>
      </c>
      <c r="O14" s="2">
        <v>53.188648999999998</v>
      </c>
      <c r="P14" s="2">
        <v>1.9855594074346841</v>
      </c>
      <c r="Q14" s="2">
        <v>5.3990720000000003</v>
      </c>
      <c r="R14" s="2">
        <v>3.2373150000000002</v>
      </c>
      <c r="S14" s="2">
        <v>-13.290645</v>
      </c>
      <c r="T14" s="2">
        <v>-5.4065459999999996</v>
      </c>
      <c r="U14" s="2">
        <v>-6.8263099999999993E-2</v>
      </c>
      <c r="V14" s="2">
        <v>46.473077599999996</v>
      </c>
      <c r="W14" s="2">
        <v>-0.2791206</v>
      </c>
      <c r="X14" s="2">
        <v>45.913252</v>
      </c>
      <c r="Y14" s="2">
        <v>0.34066299999999999</v>
      </c>
      <c r="Z14" s="2">
        <v>71.713462499999991</v>
      </c>
      <c r="AA14" s="2">
        <v>0.27881689999999998</v>
      </c>
      <c r="AB14" s="2">
        <v>59.260130499999995</v>
      </c>
      <c r="AC14" s="2">
        <v>0.18201109999999998</v>
      </c>
      <c r="AD14" s="2">
        <v>60.097249399999995</v>
      </c>
      <c r="AE14" s="2">
        <v>0.78154349999999995</v>
      </c>
      <c r="AF14" s="2">
        <v>70.5281959</v>
      </c>
      <c r="AG14" t="s">
        <v>82</v>
      </c>
      <c r="AH14" t="s">
        <v>83</v>
      </c>
      <c r="AI14">
        <v>17</v>
      </c>
      <c r="AJ14" t="s">
        <v>150</v>
      </c>
      <c r="AK14">
        <v>12</v>
      </c>
      <c r="AN14">
        <v>12.183999999999999</v>
      </c>
      <c r="AO14">
        <v>0</v>
      </c>
    </row>
    <row r="15" spans="1:41" x14ac:dyDescent="0.2">
      <c r="A15" t="s">
        <v>19</v>
      </c>
      <c r="B15" t="s">
        <v>72</v>
      </c>
      <c r="C15" s="4" t="s">
        <v>114</v>
      </c>
      <c r="D15" s="4" t="s">
        <v>106</v>
      </c>
      <c r="E15" s="2">
        <v>848.47</v>
      </c>
      <c r="F15" s="6">
        <v>1029.3638040000001</v>
      </c>
      <c r="G15" s="3">
        <v>44215</v>
      </c>
      <c r="H15" s="3">
        <v>48232</v>
      </c>
      <c r="I15" t="s">
        <v>95</v>
      </c>
      <c r="J15">
        <v>11</v>
      </c>
      <c r="K15" s="2">
        <v>4.875</v>
      </c>
      <c r="L15" s="6">
        <v>292.47899999999998</v>
      </c>
      <c r="M15" s="6"/>
      <c r="N15">
        <v>5.6539999999999999</v>
      </c>
      <c r="O15" s="2">
        <v>46.142077</v>
      </c>
      <c r="P15" s="2"/>
      <c r="Q15" s="2">
        <v>3.7911700000000002</v>
      </c>
      <c r="R15" s="2">
        <v>1.0642290000000001</v>
      </c>
      <c r="S15" s="2">
        <v>-1.746486</v>
      </c>
      <c r="T15" s="2">
        <v>-4.6817700000000002</v>
      </c>
      <c r="U15" s="2">
        <v>-3.5265499999999998E-2</v>
      </c>
      <c r="V15" s="2">
        <v>47.140999600000001</v>
      </c>
      <c r="W15" s="2">
        <v>-0.1887935</v>
      </c>
      <c r="X15" s="2">
        <v>47.669573899999996</v>
      </c>
      <c r="Y15" s="2">
        <v>-0.28319269999999902</v>
      </c>
      <c r="Z15" s="2">
        <v>61.057008699999997</v>
      </c>
      <c r="AA15" s="2">
        <v>-0.43635959999999901</v>
      </c>
      <c r="AB15" s="2">
        <v>47.980781099999994</v>
      </c>
      <c r="AC15" s="2">
        <v>-0.39345769999999902</v>
      </c>
      <c r="AD15" s="2">
        <v>50.193026599999996</v>
      </c>
      <c r="AE15" s="2">
        <v>-6.74593E-2</v>
      </c>
      <c r="AF15" s="2">
        <v>55.668533699999998</v>
      </c>
      <c r="AG15" t="s">
        <v>85</v>
      </c>
      <c r="AH15" t="s">
        <v>85</v>
      </c>
      <c r="AI15">
        <v>14</v>
      </c>
      <c r="AJ15" t="s">
        <v>148</v>
      </c>
      <c r="AK15">
        <v>14</v>
      </c>
      <c r="AL15" t="s">
        <v>93</v>
      </c>
      <c r="AM15">
        <v>15</v>
      </c>
      <c r="AN15">
        <v>5.4589999999999996</v>
      </c>
      <c r="AO15">
        <v>1</v>
      </c>
    </row>
    <row r="16" spans="1:41" x14ac:dyDescent="0.2">
      <c r="A16" t="s">
        <v>19</v>
      </c>
      <c r="B16" t="s">
        <v>72</v>
      </c>
      <c r="C16" s="4" t="s">
        <v>93</v>
      </c>
      <c r="D16" s="4" t="s">
        <v>106</v>
      </c>
      <c r="E16" s="2">
        <v>363.63</v>
      </c>
      <c r="F16" s="6">
        <v>441.15591599999999</v>
      </c>
      <c r="G16" s="3">
        <v>44215</v>
      </c>
      <c r="H16" s="3">
        <v>55537</v>
      </c>
      <c r="I16" s="3" t="s">
        <v>95</v>
      </c>
      <c r="J16">
        <v>31</v>
      </c>
      <c r="K16">
        <v>6.875</v>
      </c>
      <c r="L16">
        <v>406.81900000000002</v>
      </c>
      <c r="M16" s="2">
        <v>404.48099999999999</v>
      </c>
      <c r="N16" s="6">
        <v>7.657</v>
      </c>
      <c r="O16" s="2">
        <v>46.142077</v>
      </c>
      <c r="P16" s="2"/>
      <c r="Q16" s="2">
        <v>3.7911700000000002</v>
      </c>
      <c r="R16" s="2">
        <v>1.0642290000000001</v>
      </c>
      <c r="S16" s="2">
        <v>-1.746486</v>
      </c>
      <c r="T16" s="2">
        <v>-4.6817700000000002</v>
      </c>
      <c r="U16" s="2">
        <v>-3.5265499999999998E-2</v>
      </c>
      <c r="V16" s="2">
        <v>47.140999600000001</v>
      </c>
      <c r="W16" s="2">
        <v>-0.1887935</v>
      </c>
      <c r="X16" s="2">
        <v>47.669573899999996</v>
      </c>
      <c r="Y16" s="2">
        <v>-0.28319269999999902</v>
      </c>
      <c r="Z16" s="2">
        <v>61.057008699999997</v>
      </c>
      <c r="AA16" s="2">
        <v>-0.43635959999999901</v>
      </c>
      <c r="AB16" s="2">
        <v>47.980781099999994</v>
      </c>
      <c r="AC16" s="2">
        <v>-0.39345769999999902</v>
      </c>
      <c r="AD16" s="2">
        <v>50.193026599999996</v>
      </c>
      <c r="AE16" s="2">
        <v>-6.74593E-2</v>
      </c>
      <c r="AF16" s="2">
        <v>55.668533699999998</v>
      </c>
      <c r="AG16" t="s">
        <v>85</v>
      </c>
      <c r="AH16" t="s">
        <v>85</v>
      </c>
      <c r="AI16">
        <v>14</v>
      </c>
      <c r="AJ16" t="s">
        <v>148</v>
      </c>
      <c r="AK16">
        <v>14</v>
      </c>
      <c r="AL16" t="s">
        <v>93</v>
      </c>
      <c r="AM16">
        <v>15</v>
      </c>
      <c r="AN16" s="2">
        <v>8.6739999999999995</v>
      </c>
      <c r="AO16">
        <v>1</v>
      </c>
    </row>
    <row r="17" spans="1:41" x14ac:dyDescent="0.2">
      <c r="A17" t="s">
        <v>44</v>
      </c>
      <c r="B17" t="s">
        <v>74</v>
      </c>
      <c r="C17" s="4" t="s">
        <v>202</v>
      </c>
      <c r="D17" s="4" t="s">
        <v>102</v>
      </c>
      <c r="E17" s="2">
        <v>675</v>
      </c>
      <c r="F17" s="6">
        <v>675</v>
      </c>
      <c r="G17" s="3">
        <v>44063</v>
      </c>
      <c r="H17" s="3">
        <v>47715</v>
      </c>
      <c r="I17" t="s">
        <v>98</v>
      </c>
      <c r="J17">
        <v>10</v>
      </c>
      <c r="K17" s="2">
        <v>2.375</v>
      </c>
      <c r="L17" s="6">
        <v>55.457999999999998</v>
      </c>
      <c r="M17" s="6">
        <v>78.554000000000002</v>
      </c>
      <c r="N17">
        <v>4.8070000000000004</v>
      </c>
      <c r="O17" s="2"/>
      <c r="P17" s="2"/>
      <c r="Q17" s="2">
        <v>0.31</v>
      </c>
      <c r="R17" s="2"/>
      <c r="S17" s="2">
        <v>11.3</v>
      </c>
      <c r="T17" s="2"/>
      <c r="U17" s="2">
        <v>1.1784787999999999</v>
      </c>
      <c r="V17" s="2">
        <v>71.709046799999996</v>
      </c>
      <c r="W17" s="2">
        <v>1.4583123999999998</v>
      </c>
      <c r="X17" s="2">
        <v>79.695933999999994</v>
      </c>
      <c r="Y17" s="2">
        <v>0.97723599999999999</v>
      </c>
      <c r="Z17" s="2">
        <v>82.587148099999993</v>
      </c>
      <c r="AA17" s="2">
        <v>0.87626079999999995</v>
      </c>
      <c r="AB17" s="2">
        <v>68.682669500000003</v>
      </c>
      <c r="AC17" s="2">
        <v>0.87291029999999992</v>
      </c>
      <c r="AD17" s="2">
        <v>71.988110599999999</v>
      </c>
      <c r="AE17" s="2"/>
      <c r="AF17" s="2"/>
      <c r="AG17" t="s">
        <v>88</v>
      </c>
      <c r="AH17" t="s">
        <v>88</v>
      </c>
      <c r="AI17">
        <v>5</v>
      </c>
      <c r="AJ17" t="s">
        <v>146</v>
      </c>
      <c r="AK17">
        <v>6</v>
      </c>
      <c r="AN17">
        <v>1.508</v>
      </c>
      <c r="AO17">
        <v>0</v>
      </c>
    </row>
    <row r="18" spans="1:41" x14ac:dyDescent="0.2">
      <c r="A18" t="s">
        <v>40</v>
      </c>
      <c r="B18" t="s">
        <v>74</v>
      </c>
      <c r="C18" s="4" t="s">
        <v>202</v>
      </c>
      <c r="D18" s="4" t="s">
        <v>102</v>
      </c>
      <c r="E18" s="2">
        <v>1</v>
      </c>
      <c r="F18" s="6">
        <v>1</v>
      </c>
      <c r="G18" s="3">
        <v>42814</v>
      </c>
      <c r="H18" s="3">
        <v>46832</v>
      </c>
      <c r="I18" t="s">
        <v>95</v>
      </c>
      <c r="J18">
        <v>11</v>
      </c>
      <c r="K18" s="2">
        <v>4.5</v>
      </c>
      <c r="L18" s="6">
        <v>243.351</v>
      </c>
      <c r="M18" s="6">
        <v>246.05199999999999</v>
      </c>
      <c r="N18">
        <v>6.2329999999999997</v>
      </c>
      <c r="O18" s="2">
        <v>38.201920999999999</v>
      </c>
      <c r="P18" s="2">
        <v>10.447299733372564</v>
      </c>
      <c r="Q18" s="2">
        <v>4.3407549999999997</v>
      </c>
      <c r="R18" s="2">
        <v>4.002936</v>
      </c>
      <c r="S18" s="2">
        <v>-4.5840889999999996</v>
      </c>
      <c r="T18" s="2">
        <v>-5.9521090000000001</v>
      </c>
      <c r="U18" s="2">
        <v>-0.77837319999999999</v>
      </c>
      <c r="V18" s="2">
        <v>32.099359499999998</v>
      </c>
      <c r="W18" s="2">
        <v>-0.33273179999999902</v>
      </c>
      <c r="X18" s="2">
        <v>44.870834699999996</v>
      </c>
      <c r="Y18" s="2">
        <v>-0.25943149999999998</v>
      </c>
      <c r="Z18" s="2">
        <v>61.462888100000001</v>
      </c>
      <c r="AA18" s="2">
        <v>-0.83935870000000001</v>
      </c>
      <c r="AB18" s="2">
        <v>41.624912799999997</v>
      </c>
      <c r="AC18" s="2">
        <v>-1.2512006</v>
      </c>
      <c r="AD18" s="2">
        <v>35.430668099999998</v>
      </c>
      <c r="AE18" s="2">
        <v>-0.19116939999999999</v>
      </c>
      <c r="AF18" s="2">
        <v>53.5032991</v>
      </c>
      <c r="AG18" t="s">
        <v>82</v>
      </c>
      <c r="AH18" t="s">
        <v>87</v>
      </c>
      <c r="AI18">
        <v>12</v>
      </c>
      <c r="AJ18" t="s">
        <v>151</v>
      </c>
      <c r="AK18">
        <v>13</v>
      </c>
      <c r="AL18" t="s">
        <v>80</v>
      </c>
      <c r="AM18">
        <v>13</v>
      </c>
      <c r="AN18">
        <v>6.1150000000000002</v>
      </c>
      <c r="AO18">
        <v>1</v>
      </c>
    </row>
    <row r="19" spans="1:41" x14ac:dyDescent="0.2">
      <c r="A19" t="s">
        <v>26</v>
      </c>
      <c r="B19" t="s">
        <v>74</v>
      </c>
      <c r="C19" s="4" t="s">
        <v>202</v>
      </c>
      <c r="D19" s="4" t="s">
        <v>102</v>
      </c>
      <c r="E19" s="2">
        <v>3.5</v>
      </c>
      <c r="F19" s="6">
        <v>3.5</v>
      </c>
      <c r="G19" s="3">
        <v>35590</v>
      </c>
      <c r="H19" s="3">
        <v>46522</v>
      </c>
      <c r="I19" t="s">
        <v>96</v>
      </c>
      <c r="J19">
        <v>29</v>
      </c>
      <c r="K19" s="2">
        <v>10.125</v>
      </c>
      <c r="L19" s="6">
        <v>49.152999999999999</v>
      </c>
      <c r="M19" s="6">
        <v>91.813000000000002</v>
      </c>
      <c r="N19">
        <v>4.6580000000000004</v>
      </c>
      <c r="O19" s="2"/>
      <c r="P19" s="2">
        <v>8.6400109288526519</v>
      </c>
      <c r="Q19" s="2">
        <v>2.2088070000000002</v>
      </c>
      <c r="R19" s="2">
        <v>9.5638059999999996</v>
      </c>
      <c r="S19" s="2">
        <v>-2.8012869999999999</v>
      </c>
      <c r="T19" s="2"/>
      <c r="U19" s="2">
        <v>0.11941439999999999</v>
      </c>
      <c r="V19" s="2">
        <v>50.2719582</v>
      </c>
      <c r="W19" s="2">
        <v>1.7567299999999998E-2</v>
      </c>
      <c r="X19" s="2">
        <v>51.682057499999999</v>
      </c>
      <c r="Y19" s="2">
        <v>-3.2519800000000001E-2</v>
      </c>
      <c r="Z19" s="2">
        <v>65.338903099999996</v>
      </c>
      <c r="AA19" s="2">
        <v>-0.1070223</v>
      </c>
      <c r="AB19" s="2">
        <v>53.174898199999994</v>
      </c>
      <c r="AC19" s="2">
        <v>-0.3408545</v>
      </c>
      <c r="AD19" s="2">
        <v>51.098364699999998</v>
      </c>
      <c r="AE19" s="2">
        <v>0.27282909999999999</v>
      </c>
      <c r="AF19" s="2">
        <v>61.624427699999998</v>
      </c>
      <c r="AG19" t="s">
        <v>87</v>
      </c>
      <c r="AH19" t="s">
        <v>80</v>
      </c>
      <c r="AI19">
        <v>13</v>
      </c>
      <c r="AJ19" t="s">
        <v>147</v>
      </c>
      <c r="AK19">
        <v>15</v>
      </c>
      <c r="AL19" t="s">
        <v>85</v>
      </c>
      <c r="AM19">
        <v>14</v>
      </c>
      <c r="AN19">
        <v>1.2170000000000001</v>
      </c>
      <c r="AO19">
        <v>0</v>
      </c>
    </row>
    <row r="20" spans="1:41" x14ac:dyDescent="0.2">
      <c r="A20" t="s">
        <v>45</v>
      </c>
      <c r="B20" t="s">
        <v>74</v>
      </c>
      <c r="C20" s="4" t="s">
        <v>202</v>
      </c>
      <c r="D20" s="4" t="s">
        <v>102</v>
      </c>
      <c r="E20" s="2">
        <v>4</v>
      </c>
      <c r="F20" s="6">
        <v>4</v>
      </c>
      <c r="G20" s="3">
        <v>45042</v>
      </c>
      <c r="H20" s="3">
        <v>46869</v>
      </c>
      <c r="I20" t="s">
        <v>96</v>
      </c>
      <c r="J20">
        <v>5</v>
      </c>
      <c r="K20" s="2">
        <v>3.75</v>
      </c>
      <c r="L20" s="6">
        <v>-5.5640000000000001</v>
      </c>
      <c r="M20" s="6">
        <v>10.417999999999999</v>
      </c>
      <c r="N20">
        <v>4.01</v>
      </c>
      <c r="O20" s="2">
        <v>103.540586</v>
      </c>
      <c r="P20" s="2">
        <v>1.4654150258244174</v>
      </c>
      <c r="Q20" s="2">
        <v>4.6954200000000004</v>
      </c>
      <c r="R20" s="2">
        <v>6.5959409999999998</v>
      </c>
      <c r="S20" s="2">
        <v>-0.45814500000000002</v>
      </c>
      <c r="T20" s="2">
        <v>0.61665599999999998</v>
      </c>
      <c r="U20" s="2">
        <v>1.651994</v>
      </c>
      <c r="V20" s="2">
        <v>81.293721099999999</v>
      </c>
      <c r="W20" s="2">
        <v>1.8072446999999998</v>
      </c>
      <c r="X20" s="2">
        <v>86.48058069999999</v>
      </c>
      <c r="Y20" s="2">
        <v>0.50744590000000001</v>
      </c>
      <c r="Z20" s="2">
        <v>74.562381399999992</v>
      </c>
      <c r="AA20" s="2">
        <v>1.6322147999999999</v>
      </c>
      <c r="AB20" s="2">
        <v>80.605138099999991</v>
      </c>
      <c r="AC20" s="2">
        <v>1.5052580999999998</v>
      </c>
      <c r="AD20" s="2">
        <v>82.871260899999996</v>
      </c>
      <c r="AE20" s="2">
        <v>1.4766713</v>
      </c>
      <c r="AF20" s="2">
        <v>82.694662600000001</v>
      </c>
      <c r="AG20" t="s">
        <v>89</v>
      </c>
      <c r="AH20" t="s">
        <v>89</v>
      </c>
      <c r="AI20">
        <v>1</v>
      </c>
      <c r="AJ20" t="s">
        <v>152</v>
      </c>
      <c r="AK20">
        <v>1</v>
      </c>
      <c r="AL20" t="s">
        <v>94</v>
      </c>
      <c r="AM20">
        <v>2</v>
      </c>
      <c r="AN20">
        <v>1.095</v>
      </c>
      <c r="AO20">
        <v>0</v>
      </c>
    </row>
    <row r="21" spans="1:41" x14ac:dyDescent="0.2">
      <c r="A21" t="s">
        <v>37</v>
      </c>
      <c r="B21" t="s">
        <v>74</v>
      </c>
      <c r="C21" s="4" t="s">
        <v>114</v>
      </c>
      <c r="D21" s="4" t="s">
        <v>109</v>
      </c>
      <c r="E21" s="2">
        <v>8.5</v>
      </c>
      <c r="F21" s="6">
        <v>1.6402933230412968E-2</v>
      </c>
      <c r="G21" s="3">
        <v>40909</v>
      </c>
      <c r="H21" s="3">
        <v>48214</v>
      </c>
      <c r="I21" t="s">
        <v>96</v>
      </c>
      <c r="J21">
        <v>20</v>
      </c>
      <c r="K21" s="2">
        <v>6</v>
      </c>
      <c r="L21" s="6">
        <v>-72.709999999999994</v>
      </c>
      <c r="M21" s="6"/>
      <c r="N21">
        <v>4.8520000000000003</v>
      </c>
      <c r="O21" s="2">
        <v>11.12689</v>
      </c>
      <c r="P21" s="2">
        <v>4.4916943099868627</v>
      </c>
      <c r="Q21" s="2">
        <v>6.223897</v>
      </c>
      <c r="R21" s="2">
        <v>4.431603</v>
      </c>
      <c r="S21" s="2">
        <v>-4.920293</v>
      </c>
      <c r="T21" s="2">
        <v>1.4267909999999999</v>
      </c>
      <c r="U21" s="2">
        <v>1.5441989</v>
      </c>
      <c r="V21" s="2">
        <v>79.1117828</v>
      </c>
      <c r="W21" s="2">
        <v>1.2408511</v>
      </c>
      <c r="X21" s="2">
        <v>75.467612199999991</v>
      </c>
      <c r="Y21" s="2">
        <v>0.59968829999999995</v>
      </c>
      <c r="Z21" s="2">
        <v>76.138029199999991</v>
      </c>
      <c r="AA21" s="2">
        <v>1.4886587999999998</v>
      </c>
      <c r="AB21" s="2">
        <v>78.341055999999995</v>
      </c>
      <c r="AC21" s="2">
        <v>1.1056868</v>
      </c>
      <c r="AD21" s="2">
        <v>75.994357800000003</v>
      </c>
      <c r="AE21" s="2">
        <v>1.1506041999999999</v>
      </c>
      <c r="AF21" s="2">
        <v>76.987676699999994</v>
      </c>
      <c r="AH21" t="s">
        <v>160</v>
      </c>
      <c r="AI21">
        <v>4</v>
      </c>
      <c r="AJ21" t="s">
        <v>155</v>
      </c>
      <c r="AK21">
        <v>4</v>
      </c>
      <c r="AL21" t="s">
        <v>88</v>
      </c>
      <c r="AM21">
        <v>5</v>
      </c>
      <c r="AN21">
        <v>0.17799999999999999</v>
      </c>
      <c r="AO21">
        <v>0</v>
      </c>
    </row>
    <row r="22" spans="1:41" x14ac:dyDescent="0.2">
      <c r="A22" t="s">
        <v>37</v>
      </c>
      <c r="B22" t="s">
        <v>74</v>
      </c>
      <c r="C22" s="4" t="s">
        <v>93</v>
      </c>
      <c r="D22" s="4" t="s">
        <v>109</v>
      </c>
      <c r="E22" s="2">
        <v>1.04</v>
      </c>
      <c r="F22" s="6">
        <f>E22/518.2</f>
        <v>2.0069471246622925E-3</v>
      </c>
      <c r="G22" s="3">
        <v>40909</v>
      </c>
      <c r="H22" s="3">
        <v>51867</v>
      </c>
      <c r="I22" s="3" t="s">
        <v>96</v>
      </c>
      <c r="J22">
        <v>30</v>
      </c>
      <c r="K22" s="2">
        <v>3</v>
      </c>
      <c r="L22">
        <v>-14.22</v>
      </c>
      <c r="M22" s="2"/>
      <c r="N22" s="6">
        <v>2.2240000000000002</v>
      </c>
      <c r="O22" s="2">
        <v>11.12689</v>
      </c>
      <c r="P22" s="2">
        <v>4.4916943099868627</v>
      </c>
      <c r="Q22" s="2">
        <v>6.223897</v>
      </c>
      <c r="R22" s="2">
        <v>4.431603</v>
      </c>
      <c r="S22" s="2">
        <v>-4.920293</v>
      </c>
      <c r="T22" s="2">
        <v>1.4267909999999999</v>
      </c>
      <c r="U22" s="2">
        <v>1.5441989</v>
      </c>
      <c r="V22" s="2">
        <v>79.1117828</v>
      </c>
      <c r="W22" s="2">
        <v>1.2408511</v>
      </c>
      <c r="X22" s="2">
        <v>75.467612199999991</v>
      </c>
      <c r="Y22" s="2">
        <v>0.59968829999999995</v>
      </c>
      <c r="Z22" s="2">
        <v>76.138029199999991</v>
      </c>
      <c r="AA22" s="2">
        <v>1.4886587999999998</v>
      </c>
      <c r="AB22" s="2">
        <v>78.341055999999995</v>
      </c>
      <c r="AC22" s="2">
        <v>1.1056868</v>
      </c>
      <c r="AD22" s="2">
        <v>75.994357800000003</v>
      </c>
      <c r="AE22" s="2">
        <v>1.1506041999999999</v>
      </c>
      <c r="AF22" s="2">
        <v>76.987676699999994</v>
      </c>
      <c r="AH22" t="s">
        <v>160</v>
      </c>
      <c r="AI22">
        <v>4</v>
      </c>
      <c r="AJ22" t="s">
        <v>155</v>
      </c>
      <c r="AK22">
        <v>4</v>
      </c>
      <c r="AL22" t="s">
        <v>88</v>
      </c>
      <c r="AM22">
        <v>5</v>
      </c>
      <c r="AN22" s="2">
        <v>0.82599999999999996</v>
      </c>
      <c r="AO22">
        <v>0</v>
      </c>
    </row>
    <row r="23" spans="1:41" x14ac:dyDescent="0.2">
      <c r="A23" t="s">
        <v>47</v>
      </c>
      <c r="B23" t="s">
        <v>75</v>
      </c>
      <c r="C23" s="4" t="s">
        <v>202</v>
      </c>
      <c r="D23" s="4" t="s">
        <v>102</v>
      </c>
      <c r="E23" s="2">
        <v>885.54</v>
      </c>
      <c r="F23" s="6">
        <v>885.54</v>
      </c>
      <c r="G23" s="3">
        <v>35094</v>
      </c>
      <c r="H23" s="3">
        <v>71604</v>
      </c>
      <c r="I23" t="s">
        <v>96</v>
      </c>
      <c r="J23">
        <v>99</v>
      </c>
      <c r="K23" s="2">
        <v>9</v>
      </c>
      <c r="L23" s="6">
        <v>19.899000000000001</v>
      </c>
      <c r="M23" s="6">
        <v>209.899</v>
      </c>
      <c r="N23">
        <v>5.3019999999999996</v>
      </c>
      <c r="O23" s="2">
        <v>21.423797</v>
      </c>
      <c r="P23" s="2">
        <v>6.3282558625535721</v>
      </c>
      <c r="Q23" s="2">
        <v>11.016176</v>
      </c>
      <c r="R23" s="2">
        <v>10.113631</v>
      </c>
      <c r="S23" s="2">
        <v>0.22</v>
      </c>
      <c r="T23" s="2">
        <v>-0.94392799999999999</v>
      </c>
      <c r="U23" s="2">
        <v>-0.33078150000000001</v>
      </c>
      <c r="V23" s="2">
        <v>41.1593023</v>
      </c>
      <c r="W23" s="2">
        <v>-0.31282889999999902</v>
      </c>
      <c r="X23" s="2">
        <v>45.2578271</v>
      </c>
      <c r="Y23" s="2">
        <v>-0.11539389999999999</v>
      </c>
      <c r="Z23" s="2">
        <v>63.923280800000001</v>
      </c>
      <c r="AA23" s="2">
        <v>-0.3310381</v>
      </c>
      <c r="AB23" s="2">
        <v>49.6418508</v>
      </c>
      <c r="AC23" s="2">
        <v>-0.53453209999999995</v>
      </c>
      <c r="AD23" s="2">
        <v>47.765037</v>
      </c>
      <c r="AE23" s="2">
        <v>-1.5975163999999999</v>
      </c>
      <c r="AF23" s="2">
        <v>28.888726199999997</v>
      </c>
      <c r="AG23" t="s">
        <v>82</v>
      </c>
      <c r="AH23" t="s">
        <v>86</v>
      </c>
      <c r="AI23">
        <v>9</v>
      </c>
      <c r="AJ23" t="s">
        <v>144</v>
      </c>
      <c r="AK23">
        <v>7</v>
      </c>
      <c r="AN23">
        <v>5.4539999999999997</v>
      </c>
      <c r="AO23">
        <v>0</v>
      </c>
    </row>
    <row r="24" spans="1:41" x14ac:dyDescent="0.2">
      <c r="A24" t="s">
        <v>64</v>
      </c>
      <c r="B24" t="s">
        <v>75</v>
      </c>
      <c r="C24" s="4" t="s">
        <v>202</v>
      </c>
      <c r="D24" s="4" t="s">
        <v>106</v>
      </c>
      <c r="E24" s="2">
        <v>1.77</v>
      </c>
      <c r="F24" s="6">
        <v>2.0845289999999999</v>
      </c>
      <c r="G24" s="3">
        <v>43368</v>
      </c>
      <c r="H24" s="3">
        <v>47021</v>
      </c>
      <c r="I24" t="s">
        <v>96</v>
      </c>
      <c r="J24">
        <v>10</v>
      </c>
      <c r="K24" s="2">
        <v>2.375</v>
      </c>
      <c r="L24" s="6">
        <v>1.0369999999999999</v>
      </c>
      <c r="M24" s="6">
        <v>-17.292999999999999</v>
      </c>
      <c r="N24">
        <v>2.83</v>
      </c>
      <c r="O24" s="2">
        <v>96.374628000000001</v>
      </c>
      <c r="P24" s="2">
        <v>0.21393413476248632</v>
      </c>
      <c r="Q24" s="2">
        <v>5.7495050000000001</v>
      </c>
      <c r="R24" s="2">
        <v>-0.41850999999999999</v>
      </c>
      <c r="S24" s="2">
        <v>-5.0160179999999999</v>
      </c>
      <c r="T24" s="2">
        <v>2.128749</v>
      </c>
      <c r="U24" s="2">
        <v>0.81798269999999995</v>
      </c>
      <c r="V24" s="2">
        <v>64.412052500000001</v>
      </c>
      <c r="W24" s="2">
        <v>1.1146166</v>
      </c>
      <c r="X24" s="2">
        <v>73.013105999999993</v>
      </c>
      <c r="Y24" s="2">
        <v>0.67381029999999997</v>
      </c>
      <c r="Z24" s="2">
        <v>77.404151599999992</v>
      </c>
      <c r="AA24" s="2">
        <v>0.96951049999999994</v>
      </c>
      <c r="AB24" s="2">
        <v>70.153349800000001</v>
      </c>
      <c r="AC24" s="2">
        <v>0.92526189999999997</v>
      </c>
      <c r="AD24" s="2">
        <v>72.889118400000001</v>
      </c>
      <c r="AE24" s="2">
        <v>1.0417543999999999</v>
      </c>
      <c r="AF24" s="2">
        <v>75.082534299999992</v>
      </c>
      <c r="AG24" t="s">
        <v>90</v>
      </c>
      <c r="AH24" t="s">
        <v>90</v>
      </c>
      <c r="AI24">
        <v>7</v>
      </c>
      <c r="AJ24" t="s">
        <v>150</v>
      </c>
      <c r="AK24">
        <v>12</v>
      </c>
      <c r="AL24" t="s">
        <v>92</v>
      </c>
      <c r="AM24">
        <v>10</v>
      </c>
      <c r="AN24">
        <v>2.5299999999999998</v>
      </c>
      <c r="AO24">
        <v>0</v>
      </c>
    </row>
    <row r="25" spans="1:41" x14ac:dyDescent="0.2">
      <c r="A25" t="s">
        <v>25</v>
      </c>
      <c r="B25" t="s">
        <v>74</v>
      </c>
      <c r="C25" s="4" t="s">
        <v>202</v>
      </c>
      <c r="D25" s="4" t="s">
        <v>102</v>
      </c>
      <c r="E25" s="2">
        <v>250</v>
      </c>
      <c r="F25" s="6">
        <v>250</v>
      </c>
      <c r="G25" s="3">
        <v>35485</v>
      </c>
      <c r="H25" s="3">
        <v>46433</v>
      </c>
      <c r="I25" t="s">
        <v>96</v>
      </c>
      <c r="J25">
        <v>29</v>
      </c>
      <c r="K25" s="2">
        <v>8.375</v>
      </c>
      <c r="L25" s="6">
        <v>122.79</v>
      </c>
      <c r="M25" s="6">
        <v>140.41499999999999</v>
      </c>
      <c r="N25">
        <v>5.7110000000000003</v>
      </c>
      <c r="O25" s="2">
        <v>23.285781</v>
      </c>
      <c r="P25" s="2">
        <v>6.2100655094799064</v>
      </c>
      <c r="Q25" s="2">
        <v>2.0558550000000002</v>
      </c>
      <c r="R25" s="2">
        <v>21.641449000000001</v>
      </c>
      <c r="S25" s="2">
        <v>-3.996874</v>
      </c>
      <c r="T25" s="2">
        <v>-2.4948860000000002</v>
      </c>
      <c r="U25" s="2">
        <v>-0.5147524</v>
      </c>
      <c r="V25" s="2">
        <v>37.435448999999998</v>
      </c>
      <c r="W25" s="2">
        <v>-5.2841300000000001E-2</v>
      </c>
      <c r="X25" s="2">
        <v>50.313031199999998</v>
      </c>
      <c r="Y25" s="2">
        <v>-2.00402049999999</v>
      </c>
      <c r="Z25" s="2">
        <v>31.662516</v>
      </c>
      <c r="AA25" s="2">
        <v>-0.30023889999999998</v>
      </c>
      <c r="AB25" s="2">
        <v>50.127597899999998</v>
      </c>
      <c r="AC25" s="2">
        <v>-0.86962039999999996</v>
      </c>
      <c r="AD25" s="2">
        <v>41.997931699999995</v>
      </c>
      <c r="AE25" s="2">
        <v>-0.61500769999999905</v>
      </c>
      <c r="AF25" s="2">
        <v>46.085073899999998</v>
      </c>
      <c r="AG25" t="s">
        <v>87</v>
      </c>
      <c r="AH25" t="s">
        <v>80</v>
      </c>
      <c r="AI25">
        <v>13</v>
      </c>
      <c r="AJ25" t="s">
        <v>154</v>
      </c>
      <c r="AK25">
        <v>10</v>
      </c>
      <c r="AL25" t="s">
        <v>86</v>
      </c>
      <c r="AM25">
        <v>9</v>
      </c>
      <c r="AN25">
        <v>4.0650000000000004</v>
      </c>
      <c r="AO25">
        <v>0</v>
      </c>
    </row>
    <row r="26" spans="1:41" x14ac:dyDescent="0.2">
      <c r="A26" t="s">
        <v>38</v>
      </c>
      <c r="B26" t="s">
        <v>74</v>
      </c>
      <c r="C26" s="4" t="s">
        <v>114</v>
      </c>
      <c r="D26" s="4" t="s">
        <v>110</v>
      </c>
      <c r="E26" s="2">
        <v>272.89999999999998</v>
      </c>
      <c r="F26" s="6">
        <v>0.5009729412196644</v>
      </c>
      <c r="G26" s="3">
        <v>42544</v>
      </c>
      <c r="H26" s="3">
        <v>48115</v>
      </c>
      <c r="I26" s="3" t="s">
        <v>96</v>
      </c>
      <c r="J26">
        <v>15</v>
      </c>
      <c r="K26" s="2">
        <v>9.1999999999999993</v>
      </c>
      <c r="L26">
        <v>101.795</v>
      </c>
      <c r="M26" s="2"/>
      <c r="N26" s="6">
        <v>6.2889999999999997</v>
      </c>
      <c r="O26" s="2">
        <v>39.785705999999998</v>
      </c>
      <c r="P26" s="2">
        <v>4.7375846198522744</v>
      </c>
      <c r="Q26" s="2">
        <v>3.6520809999999999</v>
      </c>
      <c r="R26" s="2">
        <v>-0.80757900000000005</v>
      </c>
      <c r="S26" s="2">
        <v>-3.4039860000000002</v>
      </c>
      <c r="T26" s="2">
        <v>-5.5221999999999998</v>
      </c>
      <c r="U26" s="2">
        <v>0.76996939999999991</v>
      </c>
      <c r="V26" s="2">
        <v>63.440189699999998</v>
      </c>
      <c r="W26" s="2">
        <v>0.35966509999999996</v>
      </c>
      <c r="X26" s="2">
        <v>58.333813899999996</v>
      </c>
      <c r="Y26" s="2">
        <v>0.74589919999999998</v>
      </c>
      <c r="Z26" s="2">
        <v>78.63554529999999</v>
      </c>
      <c r="AA26" s="2">
        <v>0.61665950000000003</v>
      </c>
      <c r="AB26" s="2">
        <v>64.588388199999997</v>
      </c>
      <c r="AC26" s="2">
        <v>0.52125159999999993</v>
      </c>
      <c r="AD26" s="2">
        <v>65.935817</v>
      </c>
      <c r="AE26" s="2">
        <v>1.1586171999999999</v>
      </c>
      <c r="AF26" s="2">
        <v>77.127924199999995</v>
      </c>
      <c r="AH26" t="s">
        <v>80</v>
      </c>
      <c r="AI26">
        <v>13</v>
      </c>
      <c r="AJ26" t="s">
        <v>153</v>
      </c>
      <c r="AK26">
        <v>11</v>
      </c>
      <c r="AL26" t="s">
        <v>81</v>
      </c>
      <c r="AM26">
        <v>11</v>
      </c>
      <c r="AN26" s="2">
        <v>1.3979999999999999</v>
      </c>
      <c r="AO26">
        <v>0</v>
      </c>
    </row>
    <row r="27" spans="1:41" x14ac:dyDescent="0.2">
      <c r="A27" t="s">
        <v>38</v>
      </c>
      <c r="B27" t="s">
        <v>74</v>
      </c>
      <c r="C27" s="4" t="s">
        <v>93</v>
      </c>
      <c r="D27" s="4" t="s">
        <v>110</v>
      </c>
      <c r="E27" s="2">
        <v>122.9</v>
      </c>
      <c r="F27" s="6">
        <v>0.22561221867312847</v>
      </c>
      <c r="G27" s="3">
        <v>42544</v>
      </c>
      <c r="H27" s="3">
        <v>49123</v>
      </c>
      <c r="I27" s="3" t="s">
        <v>96</v>
      </c>
      <c r="J27">
        <v>18</v>
      </c>
      <c r="K27" s="2">
        <v>9.43</v>
      </c>
      <c r="L27">
        <v>64.730999999999995</v>
      </c>
      <c r="M27" s="2"/>
      <c r="N27" s="6">
        <v>6.8040000000000003</v>
      </c>
      <c r="O27" s="2">
        <v>39.785705999999998</v>
      </c>
      <c r="P27" s="2">
        <v>4.7375846198522744</v>
      </c>
      <c r="Q27" s="2">
        <v>3.6520809999999999</v>
      </c>
      <c r="R27" s="2">
        <v>-0.80757900000000005</v>
      </c>
      <c r="S27" s="2">
        <v>-3.4039860000000002</v>
      </c>
      <c r="T27" s="2">
        <v>-5.5221999999999998</v>
      </c>
      <c r="U27" s="2">
        <v>0.76996939999999991</v>
      </c>
      <c r="V27" s="2">
        <v>63.440189699999998</v>
      </c>
      <c r="W27" s="2">
        <v>0.35966509999999996</v>
      </c>
      <c r="X27" s="2">
        <v>58.333813899999996</v>
      </c>
      <c r="Y27" s="2">
        <v>0.74589919999999998</v>
      </c>
      <c r="Z27" s="2">
        <v>78.63554529999999</v>
      </c>
      <c r="AA27" s="2">
        <v>0.61665950000000003</v>
      </c>
      <c r="AB27" s="2">
        <v>64.588388199999997</v>
      </c>
      <c r="AC27" s="2">
        <v>0.52125159999999993</v>
      </c>
      <c r="AD27" s="2">
        <v>65.935817</v>
      </c>
      <c r="AE27" s="2">
        <v>1.1586171999999999</v>
      </c>
      <c r="AF27" s="2">
        <v>77.127924199999995</v>
      </c>
      <c r="AH27" t="s">
        <v>80</v>
      </c>
      <c r="AI27">
        <v>13</v>
      </c>
      <c r="AJ27" t="s">
        <v>153</v>
      </c>
      <c r="AK27">
        <v>11</v>
      </c>
      <c r="AL27" t="s">
        <v>81</v>
      </c>
      <c r="AM27">
        <v>11</v>
      </c>
      <c r="AN27" s="2">
        <v>4.0350000000000001</v>
      </c>
      <c r="AO27">
        <v>0</v>
      </c>
    </row>
    <row r="28" spans="1:41" x14ac:dyDescent="0.2">
      <c r="A28" t="s">
        <v>9</v>
      </c>
      <c r="B28" t="s">
        <v>72</v>
      </c>
      <c r="C28" s="4" t="s">
        <v>202</v>
      </c>
      <c r="D28" s="4" t="s">
        <v>102</v>
      </c>
      <c r="E28" s="2">
        <v>425.69</v>
      </c>
      <c r="F28" s="6">
        <v>425.69</v>
      </c>
      <c r="G28" s="3">
        <v>35885</v>
      </c>
      <c r="H28" s="3">
        <v>43189</v>
      </c>
      <c r="I28" t="s">
        <v>95</v>
      </c>
      <c r="J28">
        <v>19</v>
      </c>
      <c r="K28" s="2">
        <v>4</v>
      </c>
      <c r="L28" s="6">
        <v>414.03199999999998</v>
      </c>
      <c r="M28" s="6">
        <v>388.56200000000001</v>
      </c>
      <c r="N28">
        <v>9.9510000000000005</v>
      </c>
      <c r="O28" s="2">
        <v>84.181576000000007</v>
      </c>
      <c r="P28" s="2"/>
      <c r="Q28" s="2">
        <v>5.7226549999999996</v>
      </c>
      <c r="R28" s="2">
        <v>5.20275</v>
      </c>
      <c r="S28" s="2">
        <v>-0.95481000000000005</v>
      </c>
      <c r="T28" s="2">
        <v>-0.74917</v>
      </c>
      <c r="U28" s="2">
        <v>-0.20909710000000001</v>
      </c>
      <c r="V28" s="2">
        <v>43.622381300000001</v>
      </c>
      <c r="W28" s="2">
        <v>-1.9705799999999996E-2</v>
      </c>
      <c r="X28" s="2">
        <v>50.957318549999997</v>
      </c>
      <c r="Y28" s="2">
        <v>-0.18552249999999951</v>
      </c>
      <c r="Z28" s="2">
        <v>62.725372049999997</v>
      </c>
      <c r="AA28" s="2">
        <v>-0.59913044999999954</v>
      </c>
      <c r="AB28" s="2">
        <v>45.413653499999995</v>
      </c>
      <c r="AC28" s="2">
        <v>-0.8926693</v>
      </c>
      <c r="AD28" s="2">
        <v>41.6012439</v>
      </c>
      <c r="AE28" s="2">
        <v>-0.96705529999999951</v>
      </c>
      <c r="AF28" s="2">
        <v>39.923364649999996</v>
      </c>
      <c r="AN28">
        <v>7.9320000000000004</v>
      </c>
      <c r="AO28">
        <v>0</v>
      </c>
    </row>
    <row r="29" spans="1:41" x14ac:dyDescent="0.2">
      <c r="A29" t="s">
        <v>10</v>
      </c>
      <c r="B29" t="s">
        <v>72</v>
      </c>
      <c r="C29" s="4" t="s">
        <v>202</v>
      </c>
      <c r="D29" s="4" t="s">
        <v>102</v>
      </c>
      <c r="E29" s="2">
        <v>500</v>
      </c>
      <c r="F29" s="6">
        <v>500</v>
      </c>
      <c r="G29" s="3">
        <v>40297</v>
      </c>
      <c r="H29" s="3">
        <v>51256</v>
      </c>
      <c r="I29" t="s">
        <v>96</v>
      </c>
      <c r="J29">
        <v>30</v>
      </c>
      <c r="K29" s="2">
        <v>6.875</v>
      </c>
      <c r="L29" s="6">
        <v>361.82100000000003</v>
      </c>
      <c r="M29" s="6">
        <v>358.06900000000002</v>
      </c>
      <c r="N29">
        <v>8.173</v>
      </c>
      <c r="O29" s="2">
        <v>69.450038000000006</v>
      </c>
      <c r="P29" s="2">
        <v>7.3582745276515782</v>
      </c>
      <c r="Q29" s="2">
        <v>4.6736000000000004</v>
      </c>
      <c r="R29" s="2">
        <v>9.7560979999999997</v>
      </c>
      <c r="S29" s="2">
        <v>-2.2309320000000001</v>
      </c>
      <c r="T29" s="2">
        <v>-6.1954399999999996</v>
      </c>
      <c r="U29" s="2">
        <v>-0.4952858</v>
      </c>
      <c r="V29" s="2">
        <v>37.829482800000001</v>
      </c>
      <c r="W29" s="2">
        <v>-0.33371770000000001</v>
      </c>
      <c r="X29" s="2">
        <v>44.851664899999996</v>
      </c>
      <c r="Y29" s="2">
        <v>-0.57086059999999905</v>
      </c>
      <c r="Z29" s="2">
        <v>56.143180600000001</v>
      </c>
      <c r="AA29" s="2">
        <v>-1.91401E-2</v>
      </c>
      <c r="AB29" s="2">
        <v>54.560925300000001</v>
      </c>
      <c r="AC29" s="2">
        <v>-0.20946029999999999</v>
      </c>
      <c r="AD29" s="2">
        <v>53.359751299999999</v>
      </c>
      <c r="AE29" s="2">
        <v>-1.0111207</v>
      </c>
      <c r="AF29" s="2">
        <v>39.152110499999999</v>
      </c>
      <c r="AG29" t="s">
        <v>79</v>
      </c>
      <c r="AH29" t="s">
        <v>79</v>
      </c>
      <c r="AI29">
        <v>16</v>
      </c>
      <c r="AJ29" t="s">
        <v>153</v>
      </c>
      <c r="AK29">
        <v>11</v>
      </c>
      <c r="AL29" t="s">
        <v>81</v>
      </c>
      <c r="AM29">
        <v>11</v>
      </c>
      <c r="AN29">
        <v>13.018000000000001</v>
      </c>
      <c r="AO29">
        <v>0</v>
      </c>
    </row>
    <row r="30" spans="1:41" x14ac:dyDescent="0.2">
      <c r="A30" t="s">
        <v>32</v>
      </c>
      <c r="B30" t="s">
        <v>74</v>
      </c>
      <c r="C30" s="4" t="s">
        <v>202</v>
      </c>
      <c r="D30" s="4" t="s">
        <v>102</v>
      </c>
      <c r="E30" s="2">
        <v>286.45999999999998</v>
      </c>
      <c r="F30" s="6">
        <v>286.45999999999998</v>
      </c>
      <c r="G30" s="3">
        <v>38251</v>
      </c>
      <c r="H30" s="3">
        <v>48314</v>
      </c>
      <c r="I30" t="s">
        <v>100</v>
      </c>
      <c r="J30">
        <v>27</v>
      </c>
      <c r="K30" s="2">
        <v>8.25</v>
      </c>
      <c r="L30" s="6">
        <v>288.22899999999998</v>
      </c>
      <c r="M30" s="6">
        <v>336.96499999999997</v>
      </c>
      <c r="N30">
        <v>7.4450000000000003</v>
      </c>
      <c r="O30" s="2">
        <v>45.962167999999998</v>
      </c>
      <c r="P30" s="2">
        <v>4.1977270702525376</v>
      </c>
      <c r="Q30" s="2">
        <v>1.5622309999999999</v>
      </c>
      <c r="R30" s="2">
        <v>2.523536</v>
      </c>
      <c r="S30" s="2">
        <v>-5.3020509999999996</v>
      </c>
      <c r="T30" s="2">
        <v>-4.2301760000000002</v>
      </c>
      <c r="U30" s="2">
        <v>-0.5478229</v>
      </c>
      <c r="V30" s="2">
        <v>36.766051300000001</v>
      </c>
      <c r="W30" s="2">
        <v>-0.83597549999999998</v>
      </c>
      <c r="X30" s="2">
        <v>35.085754199999997</v>
      </c>
      <c r="Y30" s="2">
        <v>-0.312913</v>
      </c>
      <c r="Z30" s="2">
        <v>60.549338499999998</v>
      </c>
      <c r="AA30" s="2">
        <v>4.5478299999999999E-2</v>
      </c>
      <c r="AB30" s="2">
        <v>55.580049299999999</v>
      </c>
      <c r="AC30" s="2">
        <v>-0.67862219999999995</v>
      </c>
      <c r="AD30" s="2">
        <v>45.285145</v>
      </c>
      <c r="AE30" s="2">
        <v>-6.1905399999999999E-2</v>
      </c>
      <c r="AF30" s="2">
        <v>55.765740799999996</v>
      </c>
      <c r="AG30" t="s">
        <v>79</v>
      </c>
      <c r="AH30" t="s">
        <v>79</v>
      </c>
      <c r="AI30">
        <v>16</v>
      </c>
      <c r="AJ30" t="s">
        <v>154</v>
      </c>
      <c r="AK30">
        <v>10</v>
      </c>
      <c r="AL30" t="s">
        <v>81</v>
      </c>
      <c r="AM30">
        <v>11</v>
      </c>
      <c r="AN30">
        <v>1.786</v>
      </c>
      <c r="AO30">
        <v>0</v>
      </c>
    </row>
    <row r="31" spans="1:41" x14ac:dyDescent="0.2">
      <c r="A31" t="s">
        <v>57</v>
      </c>
      <c r="B31" t="s">
        <v>75</v>
      </c>
      <c r="C31" s="4" t="s">
        <v>202</v>
      </c>
      <c r="D31" s="4" t="s">
        <v>102</v>
      </c>
      <c r="E31" s="2">
        <v>1</v>
      </c>
      <c r="F31" s="6">
        <v>1</v>
      </c>
      <c r="G31" s="3">
        <v>41304</v>
      </c>
      <c r="H31" s="3">
        <v>52261</v>
      </c>
      <c r="I31" t="s">
        <v>96</v>
      </c>
      <c r="J31">
        <v>30</v>
      </c>
      <c r="K31" s="2">
        <v>5.25</v>
      </c>
      <c r="L31" s="6">
        <v>66.477000000000004</v>
      </c>
      <c r="M31" s="6">
        <v>136.92699999999999</v>
      </c>
      <c r="N31">
        <v>5.7590000000000003</v>
      </c>
      <c r="O31" s="2"/>
      <c r="P31" s="2"/>
      <c r="Q31" s="2"/>
      <c r="R31" s="2"/>
      <c r="S31" s="2"/>
      <c r="T31" s="2"/>
      <c r="U31" s="2"/>
      <c r="V31" s="2"/>
      <c r="W31" s="2"/>
      <c r="X31" s="2"/>
      <c r="Y31" s="2"/>
      <c r="Z31" s="2"/>
      <c r="AA31" s="2"/>
      <c r="AB31" s="2"/>
      <c r="AC31" s="2"/>
      <c r="AD31" s="2"/>
      <c r="AE31" s="2"/>
      <c r="AF31" s="2"/>
      <c r="AH31" t="s">
        <v>91</v>
      </c>
      <c r="AI31">
        <v>3</v>
      </c>
      <c r="AN31">
        <v>7.5880000000000001</v>
      </c>
      <c r="AO31">
        <v>0</v>
      </c>
    </row>
    <row r="32" spans="1:41" x14ac:dyDescent="0.2">
      <c r="A32" t="s">
        <v>69</v>
      </c>
      <c r="B32" t="s">
        <v>75</v>
      </c>
      <c r="C32" s="4" t="s">
        <v>202</v>
      </c>
      <c r="D32" s="4" t="s">
        <v>112</v>
      </c>
      <c r="E32" s="2">
        <v>280.64</v>
      </c>
      <c r="F32" s="6">
        <v>39.386964576432938</v>
      </c>
      <c r="G32" s="3">
        <v>45945</v>
      </c>
      <c r="H32" s="3">
        <v>50319</v>
      </c>
      <c r="I32" t="s">
        <v>96</v>
      </c>
      <c r="J32">
        <v>11</v>
      </c>
      <c r="K32" s="2">
        <v>5.625</v>
      </c>
      <c r="L32" s="6">
        <v>88.283000000000001</v>
      </c>
      <c r="M32" s="6">
        <v>299.59899999999999</v>
      </c>
      <c r="N32">
        <v>2.1949999999999998</v>
      </c>
      <c r="O32" s="2"/>
      <c r="P32" s="2"/>
      <c r="Q32" s="2"/>
      <c r="R32" s="2"/>
      <c r="S32" s="2"/>
      <c r="T32" s="2"/>
      <c r="U32" s="2"/>
      <c r="V32" s="2"/>
      <c r="W32" s="2"/>
      <c r="X32" s="2"/>
      <c r="Y32" s="2"/>
      <c r="Z32" s="2"/>
      <c r="AA32" s="2"/>
      <c r="AB32" s="2"/>
      <c r="AC32" s="2"/>
      <c r="AD32" s="2"/>
      <c r="AE32" s="2"/>
      <c r="AF32" s="2"/>
      <c r="AH32" t="s">
        <v>92</v>
      </c>
      <c r="AI32">
        <v>10</v>
      </c>
      <c r="AN32">
        <v>0.153</v>
      </c>
      <c r="AO32">
        <v>0</v>
      </c>
    </row>
    <row r="33" spans="1:41" x14ac:dyDescent="0.2">
      <c r="A33" t="s">
        <v>30</v>
      </c>
      <c r="B33" t="s">
        <v>74</v>
      </c>
      <c r="C33" s="4" t="s">
        <v>202</v>
      </c>
      <c r="D33" s="4" t="s">
        <v>102</v>
      </c>
      <c r="E33" s="2">
        <v>2.69</v>
      </c>
      <c r="F33" s="6">
        <v>2.69</v>
      </c>
      <c r="G33" s="3">
        <v>36761</v>
      </c>
      <c r="H33" s="3">
        <v>47710</v>
      </c>
      <c r="I33" t="s">
        <v>98</v>
      </c>
      <c r="J33">
        <v>29</v>
      </c>
      <c r="K33" s="2">
        <v>10</v>
      </c>
      <c r="L33" s="6"/>
      <c r="M33" s="6"/>
      <c r="O33" s="2"/>
      <c r="P33" s="2">
        <v>4.0510207426377276</v>
      </c>
      <c r="Q33" s="2">
        <v>-4.7393859999999997</v>
      </c>
      <c r="R33" s="2">
        <v>60.7</v>
      </c>
      <c r="S33" s="2">
        <v>4.8601080000000003</v>
      </c>
      <c r="T33" s="2">
        <v>-4.8248639999999998</v>
      </c>
      <c r="U33" s="2">
        <v>-0.71568589999999999</v>
      </c>
      <c r="V33" s="2">
        <v>33.368246599999999</v>
      </c>
      <c r="W33" s="2">
        <v>-0.53793669999999905</v>
      </c>
      <c r="X33" s="2">
        <v>40.880826599999999</v>
      </c>
      <c r="Y33" s="2">
        <v>-0.4434826</v>
      </c>
      <c r="Z33" s="2">
        <v>58.319000699999997</v>
      </c>
      <c r="AA33" s="2">
        <v>-0.10125239999999899</v>
      </c>
      <c r="AB33" s="2">
        <v>53.265897699999996</v>
      </c>
      <c r="AC33" s="2">
        <v>-0.53906999999999905</v>
      </c>
      <c r="AD33" s="2">
        <v>47.686936499999995</v>
      </c>
      <c r="AE33" s="2">
        <v>-0.1103441</v>
      </c>
      <c r="AF33" s="2">
        <v>54.917943000000001</v>
      </c>
      <c r="AG33" t="s">
        <v>82</v>
      </c>
      <c r="AH33" t="s">
        <v>79</v>
      </c>
      <c r="AI33">
        <v>16</v>
      </c>
      <c r="AJ33" t="s">
        <v>149</v>
      </c>
      <c r="AK33">
        <v>17</v>
      </c>
      <c r="AO33">
        <v>0</v>
      </c>
    </row>
    <row r="34" spans="1:41" x14ac:dyDescent="0.2">
      <c r="A34" t="s">
        <v>18</v>
      </c>
      <c r="B34" t="s">
        <v>72</v>
      </c>
      <c r="C34" s="4" t="s">
        <v>202</v>
      </c>
      <c r="D34" s="4" t="s">
        <v>102</v>
      </c>
      <c r="E34" s="2">
        <v>1</v>
      </c>
      <c r="F34" s="6">
        <v>1</v>
      </c>
      <c r="G34" s="3">
        <v>43867</v>
      </c>
      <c r="H34" s="3">
        <v>47885</v>
      </c>
      <c r="I34" t="s">
        <v>95</v>
      </c>
      <c r="J34">
        <v>11</v>
      </c>
      <c r="K34" s="2">
        <v>6.625</v>
      </c>
      <c r="L34" s="6">
        <v>713.06500000000005</v>
      </c>
      <c r="M34" s="6">
        <v>718.31700000000001</v>
      </c>
      <c r="N34">
        <v>10.492000000000001</v>
      </c>
      <c r="O34" s="2">
        <v>59.777956000000003</v>
      </c>
      <c r="P34" s="2">
        <v>4.2466227675839576</v>
      </c>
      <c r="Q34" s="2">
        <v>3.847858</v>
      </c>
      <c r="R34" s="2">
        <v>1.020807</v>
      </c>
      <c r="S34" s="2">
        <v>4.5995980000000003</v>
      </c>
      <c r="T34" s="2">
        <v>2.1269680000000002</v>
      </c>
      <c r="U34" s="2">
        <v>-0.81944989999999995</v>
      </c>
      <c r="V34" s="2">
        <v>31.267903999999998</v>
      </c>
      <c r="W34" s="2">
        <v>-0.78809059999999997</v>
      </c>
      <c r="X34" s="2">
        <v>36.016829099999995</v>
      </c>
      <c r="Y34" s="2">
        <v>-0.28057159999999998</v>
      </c>
      <c r="Z34" s="2">
        <v>61.101781299999999</v>
      </c>
      <c r="AA34" s="2">
        <v>-0.87667209999999995</v>
      </c>
      <c r="AB34" s="2">
        <v>41.036427400000001</v>
      </c>
      <c r="AC34" s="2">
        <v>-0.86584189999999905</v>
      </c>
      <c r="AD34" s="2">
        <v>42.062962299999995</v>
      </c>
      <c r="AE34" s="2">
        <v>-0.91841069999999903</v>
      </c>
      <c r="AF34" s="2">
        <v>40.774766199999995</v>
      </c>
      <c r="AG34" t="s">
        <v>84</v>
      </c>
      <c r="AJ34" t="s">
        <v>149</v>
      </c>
      <c r="AK34">
        <v>17</v>
      </c>
      <c r="AL34" t="s">
        <v>162</v>
      </c>
      <c r="AM34">
        <v>18</v>
      </c>
      <c r="AN34">
        <v>8.4719999999999995</v>
      </c>
      <c r="AO34">
        <v>0</v>
      </c>
    </row>
    <row r="35" spans="1:41" x14ac:dyDescent="0.2">
      <c r="A35" t="s">
        <v>70</v>
      </c>
      <c r="B35" t="s">
        <v>75</v>
      </c>
      <c r="C35" s="4" t="s">
        <v>114</v>
      </c>
      <c r="D35" s="4" t="s">
        <v>102</v>
      </c>
      <c r="E35" s="2">
        <v>1.5</v>
      </c>
      <c r="F35" s="2">
        <v>1.5</v>
      </c>
      <c r="G35" s="3">
        <v>46050</v>
      </c>
      <c r="H35" s="3">
        <v>47876</v>
      </c>
      <c r="I35" t="s">
        <v>96</v>
      </c>
      <c r="J35">
        <v>5</v>
      </c>
      <c r="K35" s="2">
        <v>6.875</v>
      </c>
      <c r="L35" s="6">
        <v>275.92099999999999</v>
      </c>
      <c r="M35" s="6">
        <v>302.77</v>
      </c>
      <c r="N35">
        <v>7.306</v>
      </c>
      <c r="O35" s="2">
        <v>34.282595999999998</v>
      </c>
      <c r="P35" s="2">
        <v>2.2913395787454176</v>
      </c>
      <c r="Q35" s="2">
        <v>7.4616129999999998</v>
      </c>
      <c r="R35" s="2">
        <v>3.9740829999999998</v>
      </c>
      <c r="S35" s="2">
        <v>-2.603494</v>
      </c>
      <c r="T35" s="2">
        <v>-1.4554659999999999</v>
      </c>
      <c r="U35" s="2">
        <v>0.38108609999999998</v>
      </c>
      <c r="V35" s="2">
        <v>55.568594900000001</v>
      </c>
      <c r="W35" s="2">
        <v>0.45626719999999998</v>
      </c>
      <c r="X35" s="2">
        <v>60.212147099999996</v>
      </c>
      <c r="Y35" s="2">
        <v>-0.61275919999999995</v>
      </c>
      <c r="Z35" s="2">
        <v>55.427485499999996</v>
      </c>
      <c r="AA35" s="2">
        <v>0.65004279999999992</v>
      </c>
      <c r="AB35" s="2">
        <v>65.114890299999999</v>
      </c>
      <c r="AC35" s="2">
        <v>0.14896669999999998</v>
      </c>
      <c r="AD35" s="2">
        <v>59.5285321</v>
      </c>
      <c r="AE35" s="2">
        <v>-0.25353799999999999</v>
      </c>
      <c r="AF35" s="2">
        <v>52.411693299999996</v>
      </c>
      <c r="AG35" t="s">
        <v>87</v>
      </c>
      <c r="AH35" t="s">
        <v>87</v>
      </c>
      <c r="AI35">
        <v>12</v>
      </c>
      <c r="AJ35" t="s">
        <v>150</v>
      </c>
      <c r="AK35">
        <v>12</v>
      </c>
      <c r="AL35" t="s">
        <v>81</v>
      </c>
      <c r="AM35">
        <v>11</v>
      </c>
      <c r="AN35">
        <v>9.1430000000000007</v>
      </c>
      <c r="AO35">
        <v>0</v>
      </c>
    </row>
    <row r="36" spans="1:41" x14ac:dyDescent="0.2">
      <c r="A36" t="s">
        <v>70</v>
      </c>
      <c r="B36" t="s">
        <v>75</v>
      </c>
      <c r="C36" s="4" t="s">
        <v>93</v>
      </c>
      <c r="D36" s="4" t="s">
        <v>102</v>
      </c>
      <c r="E36" s="2">
        <v>500</v>
      </c>
      <c r="F36" s="6">
        <v>500</v>
      </c>
      <c r="G36" s="3">
        <v>46050</v>
      </c>
      <c r="H36" s="3">
        <v>47876</v>
      </c>
      <c r="I36" t="s">
        <v>96</v>
      </c>
      <c r="J36">
        <v>5</v>
      </c>
      <c r="K36" s="2">
        <v>5.125</v>
      </c>
      <c r="L36" s="6">
        <v>156.679</v>
      </c>
      <c r="M36" s="6">
        <v>180.58799999999999</v>
      </c>
      <c r="N36">
        <v>5.8079999999999998</v>
      </c>
      <c r="O36" s="2">
        <v>34.282595999999998</v>
      </c>
      <c r="P36" s="2">
        <v>2.2913395787454176</v>
      </c>
      <c r="Q36" s="2">
        <v>7.4616129999999998</v>
      </c>
      <c r="R36" s="2">
        <v>3.9740829999999998</v>
      </c>
      <c r="S36" s="2">
        <v>-2.603494</v>
      </c>
      <c r="T36" s="2">
        <v>-1.4554659999999999</v>
      </c>
      <c r="U36" s="2">
        <v>0.38108609999999998</v>
      </c>
      <c r="V36" s="2">
        <v>55.568594900000001</v>
      </c>
      <c r="W36" s="2">
        <v>0.45626719999999998</v>
      </c>
      <c r="X36" s="2">
        <v>60.212147099999996</v>
      </c>
      <c r="Y36" s="2">
        <v>-0.61275919999999995</v>
      </c>
      <c r="Z36" s="2">
        <v>55.427485499999996</v>
      </c>
      <c r="AA36" s="2">
        <v>0.65004279999999992</v>
      </c>
      <c r="AB36" s="2">
        <v>65.114890299999999</v>
      </c>
      <c r="AC36" s="2">
        <v>0.14896669999999998</v>
      </c>
      <c r="AD36" s="2">
        <v>59.5285321</v>
      </c>
      <c r="AE36" s="2">
        <v>-0.25353799999999999</v>
      </c>
      <c r="AF36" s="2">
        <v>52.411693299999996</v>
      </c>
      <c r="AG36" t="s">
        <v>87</v>
      </c>
      <c r="AH36" t="s">
        <v>87</v>
      </c>
      <c r="AI36">
        <v>12</v>
      </c>
      <c r="AJ36" t="s">
        <v>150</v>
      </c>
      <c r="AK36">
        <v>12</v>
      </c>
      <c r="AL36" t="s">
        <v>81</v>
      </c>
      <c r="AM36">
        <v>11</v>
      </c>
      <c r="AN36">
        <v>2.5190000000000001</v>
      </c>
      <c r="AO36">
        <v>0</v>
      </c>
    </row>
    <row r="37" spans="1:41" x14ac:dyDescent="0.2">
      <c r="A37" t="s">
        <v>13</v>
      </c>
      <c r="B37" t="s">
        <v>72</v>
      </c>
      <c r="C37" s="4" t="s">
        <v>202</v>
      </c>
      <c r="D37" s="4" t="s">
        <v>102</v>
      </c>
      <c r="E37" s="2">
        <v>1</v>
      </c>
      <c r="F37" s="6">
        <v>1</v>
      </c>
      <c r="G37" s="3">
        <v>41493</v>
      </c>
      <c r="H37" s="3">
        <v>45145</v>
      </c>
      <c r="I37" t="s">
        <v>96</v>
      </c>
      <c r="J37">
        <v>10</v>
      </c>
      <c r="K37" s="2">
        <v>7.875</v>
      </c>
      <c r="L37" s="6"/>
      <c r="M37" s="6"/>
      <c r="N37">
        <v>7.875</v>
      </c>
      <c r="O37" s="2">
        <v>35.473182999999999</v>
      </c>
      <c r="P37" s="2">
        <v>2.8953117517826938</v>
      </c>
      <c r="Q37" s="2">
        <v>8.4218770000000003</v>
      </c>
      <c r="R37" s="2">
        <v>8.1243590000000001</v>
      </c>
      <c r="S37" s="2">
        <v>-8.8004119999999997</v>
      </c>
      <c r="T37" s="2">
        <v>-8.3570170000000008</v>
      </c>
      <c r="U37" s="2">
        <v>-1.80774E-2</v>
      </c>
      <c r="V37" s="2">
        <v>47.488913199999999</v>
      </c>
      <c r="W37" s="2">
        <v>2.2172299999999999E-2</v>
      </c>
      <c r="X37" s="2">
        <v>51.771597199999995</v>
      </c>
      <c r="Y37" s="2">
        <v>3.3397900000000001E-2</v>
      </c>
      <c r="Z37" s="2">
        <v>66.464882899999992</v>
      </c>
      <c r="AA37" s="2">
        <v>-1.6495099999999999E-2</v>
      </c>
      <c r="AB37" s="2">
        <v>54.602640699999995</v>
      </c>
      <c r="AC37" s="2">
        <v>0.16571719999999998</v>
      </c>
      <c r="AD37" s="2">
        <v>59.816819899999999</v>
      </c>
      <c r="AE37" s="2">
        <v>0.52808310000000003</v>
      </c>
      <c r="AF37" s="2">
        <v>66.092007999999993</v>
      </c>
      <c r="AG37" t="s">
        <v>82</v>
      </c>
      <c r="AH37" t="s">
        <v>85</v>
      </c>
      <c r="AI37">
        <v>14</v>
      </c>
      <c r="AJ37" t="s">
        <v>148</v>
      </c>
      <c r="AK37">
        <v>14</v>
      </c>
      <c r="AL37" t="s">
        <v>85</v>
      </c>
      <c r="AM37">
        <v>14</v>
      </c>
      <c r="AO37">
        <v>1</v>
      </c>
    </row>
    <row r="38" spans="1:41" x14ac:dyDescent="0.2">
      <c r="A38" t="s">
        <v>34</v>
      </c>
      <c r="B38" t="s">
        <v>74</v>
      </c>
      <c r="C38" s="4" t="s">
        <v>202</v>
      </c>
      <c r="D38" s="4" t="s">
        <v>102</v>
      </c>
      <c r="E38" s="2">
        <v>193.54</v>
      </c>
      <c r="F38" s="6">
        <v>193.54</v>
      </c>
      <c r="G38" s="3">
        <v>38610</v>
      </c>
      <c r="H38" s="3">
        <v>49567</v>
      </c>
      <c r="I38" t="s">
        <v>96</v>
      </c>
      <c r="J38">
        <v>30</v>
      </c>
      <c r="K38" s="2">
        <v>9</v>
      </c>
      <c r="L38" s="6">
        <v>2325.7199999999998</v>
      </c>
      <c r="M38" s="6"/>
      <c r="N38">
        <v>28.8</v>
      </c>
      <c r="O38" s="2">
        <v>94.693619999999996</v>
      </c>
      <c r="P38" s="2">
        <v>3.5855495333181069</v>
      </c>
      <c r="Q38" s="2">
        <v>-0.64719400000000005</v>
      </c>
      <c r="R38" s="2">
        <v>2.4923639999999998</v>
      </c>
      <c r="S38" s="2">
        <v>-21.91</v>
      </c>
      <c r="T38" s="2">
        <v>-0.57479899999999995</v>
      </c>
      <c r="U38" s="2">
        <v>0.56058730000000001</v>
      </c>
      <c r="V38" s="2">
        <v>59.201974699999994</v>
      </c>
      <c r="W38" s="2">
        <v>0.47797459999999997</v>
      </c>
      <c r="X38" s="2">
        <v>60.634226200000001</v>
      </c>
      <c r="Y38" s="2">
        <v>0.63636609999999993</v>
      </c>
      <c r="Z38" s="2">
        <v>76.764544700000002</v>
      </c>
      <c r="AA38" s="2">
        <v>0.11352119999999999</v>
      </c>
      <c r="AB38" s="2">
        <v>56.6531825</v>
      </c>
      <c r="AC38" s="2">
        <v>0.31283089999999997</v>
      </c>
      <c r="AD38" s="2">
        <v>62.348750199999998</v>
      </c>
      <c r="AE38" s="2">
        <v>0.67584679999999997</v>
      </c>
      <c r="AF38" s="2">
        <v>68.678240599999995</v>
      </c>
      <c r="AG38" t="s">
        <v>82</v>
      </c>
      <c r="AH38" t="s">
        <v>79</v>
      </c>
      <c r="AI38">
        <v>16</v>
      </c>
      <c r="AO38">
        <v>0</v>
      </c>
    </row>
    <row r="39" spans="1:41" x14ac:dyDescent="0.2">
      <c r="A39" t="s">
        <v>39</v>
      </c>
      <c r="B39" t="s">
        <v>74</v>
      </c>
      <c r="C39" s="4" t="s">
        <v>202</v>
      </c>
      <c r="D39" s="4" t="s">
        <v>102</v>
      </c>
      <c r="E39" s="2">
        <v>700</v>
      </c>
      <c r="F39" s="6">
        <v>700</v>
      </c>
      <c r="G39" s="3">
        <v>42754</v>
      </c>
      <c r="H39" s="3">
        <v>46406</v>
      </c>
      <c r="I39" t="s">
        <v>96</v>
      </c>
      <c r="J39">
        <v>10</v>
      </c>
      <c r="K39" s="2">
        <v>6.25</v>
      </c>
      <c r="L39" s="6">
        <v>126.268</v>
      </c>
      <c r="M39" s="6">
        <v>155.54599999999999</v>
      </c>
      <c r="N39">
        <v>5.5289999999999999</v>
      </c>
      <c r="O39" s="2">
        <v>39.421740999999997</v>
      </c>
      <c r="P39" s="2">
        <v>3.9785179544116498</v>
      </c>
      <c r="Q39" s="2">
        <v>3.8930250000000002</v>
      </c>
      <c r="R39" s="2">
        <v>3.3198379999999998</v>
      </c>
      <c r="S39" s="2">
        <v>-3.1443029999999998</v>
      </c>
      <c r="T39" s="2">
        <v>-0.39736500000000002</v>
      </c>
      <c r="U39" s="2">
        <v>-0.92429869999999903</v>
      </c>
      <c r="V39" s="2">
        <v>29.145603399999999</v>
      </c>
      <c r="W39" s="2">
        <v>-0.43128829999999901</v>
      </c>
      <c r="X39" s="2">
        <v>42.954500199999998</v>
      </c>
      <c r="Y39" s="2">
        <v>-0.70479219999999998</v>
      </c>
      <c r="Z39" s="2">
        <v>53.855414599999996</v>
      </c>
      <c r="AA39" s="2">
        <v>-0.59496090000000001</v>
      </c>
      <c r="AB39" s="2">
        <v>45.479413299999997</v>
      </c>
      <c r="AC39" s="2">
        <v>-1.1783644</v>
      </c>
      <c r="AD39" s="2">
        <v>36.684230299999996</v>
      </c>
      <c r="AE39" s="2">
        <v>-0.65778930000000002</v>
      </c>
      <c r="AF39" s="2">
        <v>45.336289399999998</v>
      </c>
      <c r="AG39" t="s">
        <v>85</v>
      </c>
      <c r="AH39" t="s">
        <v>85</v>
      </c>
      <c r="AI39">
        <v>14</v>
      </c>
      <c r="AJ39" t="s">
        <v>147</v>
      </c>
      <c r="AK39">
        <v>15</v>
      </c>
      <c r="AL39" t="s">
        <v>85</v>
      </c>
      <c r="AM39">
        <v>14</v>
      </c>
      <c r="AN39">
        <v>0.53100000000000003</v>
      </c>
      <c r="AO39">
        <v>1</v>
      </c>
    </row>
    <row r="40" spans="1:41" x14ac:dyDescent="0.2">
      <c r="A40" t="s">
        <v>68</v>
      </c>
      <c r="B40" t="s">
        <v>75</v>
      </c>
      <c r="C40" s="4" t="s">
        <v>202</v>
      </c>
      <c r="D40" s="4" t="s">
        <v>102</v>
      </c>
      <c r="E40" s="2">
        <v>1.5</v>
      </c>
      <c r="F40" s="6">
        <v>1.5</v>
      </c>
      <c r="G40" s="3">
        <v>44495</v>
      </c>
      <c r="H40" s="3">
        <v>46321</v>
      </c>
      <c r="I40" t="s">
        <v>96</v>
      </c>
      <c r="J40">
        <v>5</v>
      </c>
      <c r="K40" s="2">
        <v>1.25</v>
      </c>
      <c r="L40" s="6">
        <v>-8.3840000000000003</v>
      </c>
      <c r="M40" s="6">
        <v>18.952000000000002</v>
      </c>
      <c r="N40">
        <v>4.0339999999999998</v>
      </c>
      <c r="O40" s="2">
        <v>0.99738899999999997</v>
      </c>
      <c r="P40" s="2">
        <v>7.5606548115720251</v>
      </c>
      <c r="Q40" s="2">
        <v>-6.5447959999999998</v>
      </c>
      <c r="R40" s="2">
        <v>-0.89374399999999998</v>
      </c>
      <c r="S40" s="2">
        <v>6.9928619999999997</v>
      </c>
      <c r="T40" s="2">
        <v>-9.2293819999999993</v>
      </c>
      <c r="U40" s="2">
        <v>1.6888523</v>
      </c>
      <c r="V40" s="2">
        <v>82.039789599999992</v>
      </c>
      <c r="W40" s="2">
        <v>1.5914490999999999</v>
      </c>
      <c r="X40" s="2">
        <v>82.284646699999996</v>
      </c>
      <c r="Y40" s="2">
        <v>7.9015999999999999E-3</v>
      </c>
      <c r="Z40" s="2">
        <v>66.029365299999995</v>
      </c>
      <c r="AA40" s="2">
        <v>1.8517762999999998</v>
      </c>
      <c r="AB40" s="2">
        <v>84.067934800000003</v>
      </c>
      <c r="AC40" s="2">
        <v>1.1753871999999999</v>
      </c>
      <c r="AD40" s="2">
        <v>77.193950799999996</v>
      </c>
      <c r="AE40" s="2">
        <v>0.2406441</v>
      </c>
      <c r="AF40" s="2">
        <v>61.061110100000001</v>
      </c>
      <c r="AG40" t="s">
        <v>94</v>
      </c>
      <c r="AH40" t="s">
        <v>94</v>
      </c>
      <c r="AI40">
        <v>2</v>
      </c>
      <c r="AJ40" t="s">
        <v>155</v>
      </c>
      <c r="AK40">
        <v>4</v>
      </c>
      <c r="AL40" t="s">
        <v>160</v>
      </c>
      <c r="AM40">
        <v>4</v>
      </c>
      <c r="AN40">
        <v>0.22600000000000001</v>
      </c>
      <c r="AO40">
        <v>0</v>
      </c>
    </row>
    <row r="41" spans="1:41" x14ac:dyDescent="0.2">
      <c r="A41" t="s">
        <v>52</v>
      </c>
      <c r="B41" t="s">
        <v>75</v>
      </c>
      <c r="C41" s="4" t="s">
        <v>202</v>
      </c>
      <c r="D41" s="4" t="s">
        <v>102</v>
      </c>
      <c r="E41" s="2">
        <v>1.6</v>
      </c>
      <c r="F41" s="6">
        <v>1.6</v>
      </c>
      <c r="G41" s="3">
        <v>38637</v>
      </c>
      <c r="H41" s="3">
        <v>49594</v>
      </c>
      <c r="I41" t="s">
        <v>96</v>
      </c>
      <c r="J41">
        <v>30</v>
      </c>
      <c r="K41" s="2">
        <v>8.5</v>
      </c>
      <c r="L41" s="6">
        <v>74.417000000000002</v>
      </c>
      <c r="M41" s="6">
        <v>137.94499999999999</v>
      </c>
      <c r="N41">
        <v>5.2839999999999998</v>
      </c>
      <c r="O41" s="2">
        <v>51.328172000000002</v>
      </c>
      <c r="P41" s="2">
        <v>5.4205632109530066</v>
      </c>
      <c r="Q41" s="2">
        <v>5.0308719999999996</v>
      </c>
      <c r="R41" s="2">
        <v>6.3846980000000002</v>
      </c>
      <c r="S41" s="2">
        <v>1.882269</v>
      </c>
      <c r="T41" s="2">
        <v>-0.26019399999999998</v>
      </c>
      <c r="U41" s="2">
        <v>-1.1642347</v>
      </c>
      <c r="V41" s="2">
        <v>24.2889306</v>
      </c>
      <c r="W41" s="2">
        <v>-0.76268469999999999</v>
      </c>
      <c r="X41" s="2">
        <v>36.510821899999996</v>
      </c>
      <c r="Y41" s="2">
        <v>-1.6568197</v>
      </c>
      <c r="Z41" s="2">
        <v>37.593261300000002</v>
      </c>
      <c r="AA41" s="2">
        <v>-0.50186889999999995</v>
      </c>
      <c r="AB41" s="2">
        <v>46.947606299999997</v>
      </c>
      <c r="AC41" s="2">
        <v>-0.76998079999999902</v>
      </c>
      <c r="AD41" s="2">
        <v>43.7127993</v>
      </c>
      <c r="AE41" s="2">
        <v>-0.19500439999999999</v>
      </c>
      <c r="AF41" s="2">
        <v>53.436177000000001</v>
      </c>
      <c r="AG41" t="s">
        <v>86</v>
      </c>
      <c r="AH41" t="s">
        <v>85</v>
      </c>
      <c r="AI41">
        <v>14</v>
      </c>
      <c r="AJ41" t="s">
        <v>147</v>
      </c>
      <c r="AK41">
        <v>15</v>
      </c>
      <c r="AL41" t="s">
        <v>80</v>
      </c>
      <c r="AM41">
        <v>13</v>
      </c>
      <c r="AN41">
        <v>3.4780000000000002</v>
      </c>
      <c r="AO41">
        <v>0</v>
      </c>
    </row>
    <row r="42" spans="1:41" x14ac:dyDescent="0.2">
      <c r="A42" t="s">
        <v>49</v>
      </c>
      <c r="B42" t="s">
        <v>75</v>
      </c>
      <c r="C42" s="4" t="s">
        <v>202</v>
      </c>
      <c r="D42" s="4" t="s">
        <v>102</v>
      </c>
      <c r="E42" s="2">
        <v>250</v>
      </c>
      <c r="F42" s="6">
        <v>250</v>
      </c>
      <c r="G42" s="3">
        <v>36144</v>
      </c>
      <c r="H42" s="3">
        <v>47102</v>
      </c>
      <c r="I42" t="s">
        <v>96</v>
      </c>
      <c r="J42">
        <v>30</v>
      </c>
      <c r="K42" s="2">
        <v>7.25</v>
      </c>
      <c r="L42" s="6">
        <v>53.414999999999999</v>
      </c>
      <c r="M42" s="6">
        <v>73.566999999999993</v>
      </c>
      <c r="N42">
        <v>4.8239999999999998</v>
      </c>
      <c r="O42" s="2">
        <v>93.41</v>
      </c>
      <c r="P42" s="2">
        <v>5.8832397653158175</v>
      </c>
      <c r="Q42" s="2">
        <v>3.6104959999999999</v>
      </c>
      <c r="R42" s="2">
        <v>6.9881190000000002</v>
      </c>
      <c r="S42" s="2">
        <v>-3.5588799999999998</v>
      </c>
      <c r="T42" s="2">
        <v>-2.11</v>
      </c>
      <c r="U42" s="2">
        <v>1.4296163499999999</v>
      </c>
      <c r="V42" s="2">
        <v>76.792456200000004</v>
      </c>
      <c r="W42" s="2">
        <v>1.3697045499999998</v>
      </c>
      <c r="X42" s="2">
        <v>77.973041199999997</v>
      </c>
      <c r="Y42" s="2">
        <v>-0.93393039999999949</v>
      </c>
      <c r="Z42" s="2">
        <v>49.941367399999997</v>
      </c>
      <c r="AA42" s="2">
        <v>0.78833065000000002</v>
      </c>
      <c r="AB42" s="2">
        <v>67.295886150000001</v>
      </c>
      <c r="AC42" s="2">
        <v>1.0592484</v>
      </c>
      <c r="AD42" s="2">
        <v>75.195120299999999</v>
      </c>
      <c r="AE42" s="2">
        <v>0.54789770000000004</v>
      </c>
      <c r="AF42" s="2">
        <v>66.438812850000005</v>
      </c>
      <c r="AG42" t="s">
        <v>90</v>
      </c>
      <c r="AH42" t="s">
        <v>114</v>
      </c>
      <c r="AI42">
        <v>6</v>
      </c>
      <c r="AJ42" t="s">
        <v>146</v>
      </c>
      <c r="AK42">
        <v>6</v>
      </c>
      <c r="AL42" t="s">
        <v>90</v>
      </c>
      <c r="AM42">
        <v>7</v>
      </c>
      <c r="AN42">
        <v>4.8070000000000004</v>
      </c>
      <c r="AO42">
        <v>0</v>
      </c>
    </row>
    <row r="43" spans="1:41" x14ac:dyDescent="0.2">
      <c r="A43" t="s">
        <v>35</v>
      </c>
      <c r="B43" t="s">
        <v>74</v>
      </c>
      <c r="C43" s="4" t="s">
        <v>202</v>
      </c>
      <c r="D43" s="4" t="s">
        <v>102</v>
      </c>
      <c r="E43" s="2">
        <v>2.0299999999999998</v>
      </c>
      <c r="F43" s="6">
        <v>2.0299999999999998</v>
      </c>
      <c r="G43" s="3">
        <v>38743</v>
      </c>
      <c r="H43" s="3">
        <v>49700</v>
      </c>
      <c r="I43" t="s">
        <v>96</v>
      </c>
      <c r="J43">
        <v>30</v>
      </c>
      <c r="K43" s="2">
        <v>6.7</v>
      </c>
      <c r="L43" s="6">
        <v>95.554000000000002</v>
      </c>
      <c r="M43" s="6">
        <v>145.38800000000001</v>
      </c>
      <c r="N43">
        <v>5.5979999999999999</v>
      </c>
      <c r="O43" s="2">
        <v>121.50964399999999</v>
      </c>
      <c r="P43" s="2">
        <v>3.734775297062968</v>
      </c>
      <c r="Q43" s="2">
        <v>0.89360499999999998</v>
      </c>
      <c r="R43" s="2">
        <v>12.561057</v>
      </c>
      <c r="S43" s="2">
        <v>-9.29636</v>
      </c>
      <c r="T43" s="2">
        <v>-3.2220550000000001</v>
      </c>
      <c r="U43" s="2">
        <v>-0.31422489999999997</v>
      </c>
      <c r="V43" s="2">
        <v>41.494433299999997</v>
      </c>
      <c r="W43" s="2">
        <v>-0.29819699999999999</v>
      </c>
      <c r="X43" s="2">
        <v>45.542330100000001</v>
      </c>
      <c r="Y43" s="2">
        <v>-0.32714119999999902</v>
      </c>
      <c r="Z43" s="2">
        <v>60.306297999999998</v>
      </c>
      <c r="AA43" s="2">
        <v>0.22530649999999999</v>
      </c>
      <c r="AB43" s="2">
        <v>58.416195500000001</v>
      </c>
      <c r="AC43" s="2">
        <v>-0.19978849999999901</v>
      </c>
      <c r="AD43" s="2">
        <v>53.526209799999997</v>
      </c>
      <c r="AE43" s="2">
        <v>0.54933199999999993</v>
      </c>
      <c r="AF43" s="2">
        <v>66.463916699999999</v>
      </c>
      <c r="AG43" t="s">
        <v>81</v>
      </c>
      <c r="AH43" t="s">
        <v>81</v>
      </c>
      <c r="AI43">
        <v>11</v>
      </c>
      <c r="AJ43" t="s">
        <v>148</v>
      </c>
      <c r="AK43">
        <v>14</v>
      </c>
      <c r="AL43" t="s">
        <v>85</v>
      </c>
      <c r="AM43">
        <v>14</v>
      </c>
      <c r="AN43">
        <v>4.165</v>
      </c>
      <c r="AO43">
        <v>0</v>
      </c>
    </row>
    <row r="44" spans="1:41" x14ac:dyDescent="0.2">
      <c r="A44" t="s">
        <v>59</v>
      </c>
      <c r="B44" t="s">
        <v>75</v>
      </c>
      <c r="C44" s="4" t="s">
        <v>202</v>
      </c>
      <c r="D44" s="4" t="s">
        <v>102</v>
      </c>
      <c r="E44" s="2">
        <v>1</v>
      </c>
      <c r="F44" s="6">
        <v>1</v>
      </c>
      <c r="G44" s="3">
        <v>42675</v>
      </c>
      <c r="H44" s="3">
        <v>46418</v>
      </c>
      <c r="I44" t="s">
        <v>96</v>
      </c>
      <c r="J44">
        <v>10</v>
      </c>
      <c r="K44" s="2">
        <v>5.75</v>
      </c>
      <c r="L44" s="6">
        <v>96.055000000000007</v>
      </c>
      <c r="M44" s="6">
        <v>127.39400000000001</v>
      </c>
      <c r="N44">
        <v>5.1959999999999997</v>
      </c>
      <c r="O44" s="2">
        <v>71.380649000000005</v>
      </c>
      <c r="P44" s="2">
        <v>8.3049308867397631</v>
      </c>
      <c r="Q44" s="2">
        <v>2.5227499999999998</v>
      </c>
      <c r="R44" s="2">
        <v>-1.575053</v>
      </c>
      <c r="S44" s="2">
        <v>-8.1873729999999991</v>
      </c>
      <c r="T44" s="2">
        <v>-5.1820599999999999</v>
      </c>
      <c r="U44" s="2">
        <v>0.26444970000000001</v>
      </c>
      <c r="V44" s="2">
        <v>53.207695199999996</v>
      </c>
      <c r="W44" s="2">
        <v>0.38209419999999999</v>
      </c>
      <c r="X44" s="2">
        <v>58.769925799999996</v>
      </c>
      <c r="Y44" s="2">
        <v>-0.64042849999999996</v>
      </c>
      <c r="Z44" s="2">
        <v>54.954849599999996</v>
      </c>
      <c r="AA44" s="2">
        <v>0.16829059999999998</v>
      </c>
      <c r="AB44" s="2">
        <v>57.516973699999994</v>
      </c>
      <c r="AC44" s="2">
        <v>0.1375421</v>
      </c>
      <c r="AD44" s="2">
        <v>59.331906699999998</v>
      </c>
      <c r="AE44" s="2">
        <v>-0.60987130000000001</v>
      </c>
      <c r="AF44" s="2">
        <v>46.174973699999995</v>
      </c>
      <c r="AG44" t="s">
        <v>80</v>
      </c>
      <c r="AH44" t="s">
        <v>80</v>
      </c>
      <c r="AI44">
        <v>13</v>
      </c>
      <c r="AJ44" t="s">
        <v>148</v>
      </c>
      <c r="AK44">
        <v>14</v>
      </c>
      <c r="AN44">
        <v>0.85199999999999998</v>
      </c>
      <c r="AO44">
        <v>0</v>
      </c>
    </row>
    <row r="45" spans="1:41" x14ac:dyDescent="0.2">
      <c r="A45" t="s">
        <v>55</v>
      </c>
      <c r="B45" t="s">
        <v>75</v>
      </c>
      <c r="C45" s="4" t="s">
        <v>202</v>
      </c>
      <c r="D45" s="4" t="s">
        <v>111</v>
      </c>
      <c r="E45" s="2">
        <v>939.46</v>
      </c>
      <c r="F45" s="6">
        <v>6.3623188405797109</v>
      </c>
      <c r="G45" s="3">
        <v>40995</v>
      </c>
      <c r="H45" s="3">
        <v>52683</v>
      </c>
      <c r="I45" t="s">
        <v>96</v>
      </c>
      <c r="J45">
        <v>32</v>
      </c>
      <c r="K45" s="2">
        <v>5.49</v>
      </c>
      <c r="L45" s="6">
        <v>1380.873</v>
      </c>
      <c r="M45" s="6"/>
      <c r="N45">
        <v>17.548999999999999</v>
      </c>
      <c r="O45" s="2">
        <v>10.161007</v>
      </c>
      <c r="P45" s="2">
        <v>4.3122259823364022</v>
      </c>
      <c r="Q45" s="2">
        <v>7.5</v>
      </c>
      <c r="R45" s="2">
        <v>7.4596770000000001</v>
      </c>
      <c r="S45" s="2">
        <v>7.302994</v>
      </c>
      <c r="T45" s="2">
        <v>5.8110359999999996</v>
      </c>
      <c r="U45" s="2">
        <v>-0.8894339</v>
      </c>
      <c r="V45" s="2">
        <v>29.8513205</v>
      </c>
      <c r="W45" s="2">
        <v>-0.74978699999999998</v>
      </c>
      <c r="X45" s="2">
        <v>36.761605099999997</v>
      </c>
      <c r="Y45" s="2">
        <v>-0.43049209999999999</v>
      </c>
      <c r="Z45" s="2">
        <v>58.5408993</v>
      </c>
      <c r="AA45" s="2">
        <v>-0.31100669999999903</v>
      </c>
      <c r="AB45" s="2">
        <v>49.957774399999998</v>
      </c>
      <c r="AC45" s="2">
        <v>-0.58647839999999996</v>
      </c>
      <c r="AD45" s="2">
        <v>46.871004599999999</v>
      </c>
      <c r="AE45" s="2">
        <v>-0.79534079999999996</v>
      </c>
      <c r="AF45" s="2">
        <v>42.928795799999996</v>
      </c>
      <c r="AG45" t="s">
        <v>86</v>
      </c>
      <c r="AH45" t="s">
        <v>113</v>
      </c>
      <c r="AI45">
        <v>8</v>
      </c>
      <c r="AJ45" t="s">
        <v>156</v>
      </c>
      <c r="AK45">
        <v>9</v>
      </c>
      <c r="AL45" t="s">
        <v>86</v>
      </c>
      <c r="AM45">
        <v>9</v>
      </c>
      <c r="AN45">
        <v>2.0790000000000002</v>
      </c>
      <c r="AO45">
        <v>0</v>
      </c>
    </row>
    <row r="46" spans="1:41" x14ac:dyDescent="0.2">
      <c r="A46" t="s">
        <v>20</v>
      </c>
      <c r="B46" t="s">
        <v>72</v>
      </c>
      <c r="C46" s="4" t="s">
        <v>202</v>
      </c>
      <c r="D46" s="4" t="s">
        <v>102</v>
      </c>
      <c r="E46" s="2">
        <v>1</v>
      </c>
      <c r="F46" s="6">
        <v>1</v>
      </c>
      <c r="G46" s="3">
        <v>44370</v>
      </c>
      <c r="H46" s="3">
        <v>45314</v>
      </c>
      <c r="I46" t="s">
        <v>95</v>
      </c>
      <c r="J46">
        <v>2</v>
      </c>
      <c r="K46" s="2">
        <v>6.3</v>
      </c>
      <c r="L46" s="6">
        <v>376.74799999999999</v>
      </c>
      <c r="M46" s="6">
        <v>410.34800000000001</v>
      </c>
      <c r="N46">
        <v>8.2390000000000008</v>
      </c>
      <c r="O46" s="2">
        <v>67.958731999999998</v>
      </c>
      <c r="P46" s="2">
        <v>5.0016816092173242</v>
      </c>
      <c r="Q46" s="2">
        <v>-0.27275500000000003</v>
      </c>
      <c r="R46" s="2">
        <v>5.617394</v>
      </c>
      <c r="S46" s="2">
        <v>-3.6600619999999999</v>
      </c>
      <c r="T46" s="2">
        <v>-8.1304370000000006</v>
      </c>
      <c r="U46" s="2">
        <v>-0.75053939999999997</v>
      </c>
      <c r="V46" s="2">
        <v>32.6627583</v>
      </c>
      <c r="W46" s="2">
        <v>-0.37597130000000001</v>
      </c>
      <c r="X46" s="2">
        <v>44.030085</v>
      </c>
      <c r="Y46" s="2">
        <v>-1.0502651000000001</v>
      </c>
      <c r="Z46" s="2">
        <v>47.954184599999998</v>
      </c>
      <c r="AA46" s="2">
        <v>-0.46014109999999903</v>
      </c>
      <c r="AB46" s="2">
        <v>47.605712999999994</v>
      </c>
      <c r="AC46" s="2">
        <v>-0.57843440000000002</v>
      </c>
      <c r="AD46" s="2">
        <v>47.0094475</v>
      </c>
      <c r="AE46" s="2">
        <v>-0.43581759999999897</v>
      </c>
      <c r="AF46" s="2">
        <v>49.221346599999997</v>
      </c>
      <c r="AG46" t="s">
        <v>79</v>
      </c>
      <c r="AH46" t="s">
        <v>79</v>
      </c>
      <c r="AI46">
        <v>16</v>
      </c>
      <c r="AJ46" t="s">
        <v>147</v>
      </c>
      <c r="AK46">
        <v>15</v>
      </c>
      <c r="AL46" t="s">
        <v>85</v>
      </c>
      <c r="AM46">
        <v>14</v>
      </c>
      <c r="AN46">
        <v>15.752000000000001</v>
      </c>
      <c r="AO46">
        <v>0</v>
      </c>
    </row>
    <row r="47" spans="1:41" x14ac:dyDescent="0.2">
      <c r="A47" t="s">
        <v>58</v>
      </c>
      <c r="B47" t="s">
        <v>75</v>
      </c>
      <c r="C47" s="4" t="s">
        <v>202</v>
      </c>
      <c r="D47" s="4" t="s">
        <v>102</v>
      </c>
      <c r="E47" s="2">
        <v>20</v>
      </c>
      <c r="F47" s="6">
        <v>20</v>
      </c>
      <c r="G47" s="3">
        <v>42356</v>
      </c>
      <c r="H47" s="3">
        <v>46739</v>
      </c>
      <c r="I47" t="s">
        <v>95</v>
      </c>
      <c r="J47">
        <v>12</v>
      </c>
      <c r="K47" s="2"/>
      <c r="L47" s="6">
        <v>397.99</v>
      </c>
      <c r="M47" s="6"/>
      <c r="N47">
        <v>8.6159999999999997</v>
      </c>
      <c r="O47" s="2">
        <v>53.534106000000001</v>
      </c>
      <c r="P47" s="2">
        <v>2.3135753763068831</v>
      </c>
      <c r="Q47" s="2">
        <v>7.6122959999999997</v>
      </c>
      <c r="R47" s="2">
        <v>2.3992930000000001</v>
      </c>
      <c r="S47" s="2">
        <v>-14.506786</v>
      </c>
      <c r="T47" s="2">
        <v>-3.132231</v>
      </c>
      <c r="U47" s="2">
        <v>-1.0259696999999901</v>
      </c>
      <c r="V47" s="2">
        <v>27.087626399999998</v>
      </c>
      <c r="W47" s="2">
        <v>-0.27617809999999998</v>
      </c>
      <c r="X47" s="2">
        <v>45.970465999999995</v>
      </c>
      <c r="Y47" s="2">
        <v>0.37724530000000001</v>
      </c>
      <c r="Z47" s="2">
        <v>72.338346700000002</v>
      </c>
      <c r="AA47" s="2">
        <v>-0.74568329999999905</v>
      </c>
      <c r="AB47" s="2">
        <v>43.102306899999995</v>
      </c>
      <c r="AC47" s="2">
        <v>-0.77977799999999997</v>
      </c>
      <c r="AD47" s="2">
        <v>43.544182599999999</v>
      </c>
      <c r="AE47" s="2">
        <v>-1.3776915999999999</v>
      </c>
      <c r="AF47" s="2">
        <v>32.736207299999997</v>
      </c>
      <c r="AN47">
        <v>4.8000000000000001E-2</v>
      </c>
      <c r="AO47">
        <v>0</v>
      </c>
    </row>
    <row r="48" spans="1:41" x14ac:dyDescent="0.2">
      <c r="A48" t="s">
        <v>54</v>
      </c>
      <c r="B48" t="s">
        <v>75</v>
      </c>
      <c r="C48" s="4" t="s">
        <v>202</v>
      </c>
      <c r="D48" s="4" t="s">
        <v>102</v>
      </c>
      <c r="E48" s="2">
        <v>2.09</v>
      </c>
      <c r="F48" s="6">
        <v>2.09</v>
      </c>
      <c r="G48" s="3">
        <v>38819</v>
      </c>
      <c r="H48" s="3">
        <v>44298</v>
      </c>
      <c r="I48" t="s">
        <v>96</v>
      </c>
      <c r="J48">
        <v>15</v>
      </c>
      <c r="K48" s="2">
        <v>8.25</v>
      </c>
      <c r="L48" s="6">
        <v>2662.7660000000001</v>
      </c>
      <c r="M48" s="6"/>
      <c r="N48">
        <v>30.417000000000002</v>
      </c>
      <c r="O48" s="2">
        <v>178.925849</v>
      </c>
      <c r="P48" s="2">
        <v>10.625122287708823</v>
      </c>
      <c r="Q48" s="2">
        <v>2.4657170000000002</v>
      </c>
      <c r="R48" s="2">
        <v>-1.600611</v>
      </c>
      <c r="S48" s="2">
        <v>-12.68121</v>
      </c>
      <c r="T48" s="2">
        <v>-8.5728000000000009</v>
      </c>
      <c r="U48" s="2">
        <v>-0.68047530000000001</v>
      </c>
      <c r="V48" s="2">
        <v>34.080963199999999</v>
      </c>
      <c r="W48" s="2">
        <v>-0.16488799999999901</v>
      </c>
      <c r="X48" s="2">
        <v>48.134392899999995</v>
      </c>
      <c r="Y48" s="2">
        <v>-0.99461309999999903</v>
      </c>
      <c r="Z48" s="2">
        <v>48.904809799999995</v>
      </c>
      <c r="AA48" s="2">
        <v>-0.2381711</v>
      </c>
      <c r="AB48" s="2">
        <v>51.106495299999999</v>
      </c>
      <c r="AC48" s="2">
        <v>-0.34837829999999997</v>
      </c>
      <c r="AD48" s="2">
        <v>50.968874799999995</v>
      </c>
      <c r="AE48" s="2">
        <v>-0.35778309999999902</v>
      </c>
      <c r="AF48" s="2">
        <v>50.587144599999995</v>
      </c>
      <c r="AG48" t="s">
        <v>82</v>
      </c>
      <c r="AH48" t="s">
        <v>79</v>
      </c>
      <c r="AI48">
        <v>16</v>
      </c>
      <c r="AJ48" t="s">
        <v>143</v>
      </c>
      <c r="AK48">
        <v>16</v>
      </c>
      <c r="AL48" t="s">
        <v>79</v>
      </c>
      <c r="AM48">
        <v>16</v>
      </c>
      <c r="AN48">
        <v>20.437000000000001</v>
      </c>
      <c r="AO48">
        <v>0</v>
      </c>
    </row>
    <row r="49" spans="1:41" x14ac:dyDescent="0.2">
      <c r="A49" t="s">
        <v>65</v>
      </c>
      <c r="B49" t="s">
        <v>75</v>
      </c>
      <c r="C49" s="4" t="s">
        <v>202</v>
      </c>
      <c r="D49" s="4" t="s">
        <v>107</v>
      </c>
      <c r="E49" s="2">
        <v>1.79</v>
      </c>
      <c r="F49" s="6">
        <v>1.60021455390667E-2</v>
      </c>
      <c r="G49" s="3">
        <v>43539</v>
      </c>
      <c r="H49" s="3">
        <v>47192</v>
      </c>
      <c r="I49" t="s">
        <v>96</v>
      </c>
      <c r="J49">
        <v>10</v>
      </c>
      <c r="K49" s="2">
        <v>0.53</v>
      </c>
      <c r="L49" s="6">
        <v>35.799999999999997</v>
      </c>
      <c r="M49" s="6"/>
      <c r="N49">
        <v>2.0619999999999998</v>
      </c>
      <c r="O49" s="2">
        <v>55.645977999999999</v>
      </c>
      <c r="P49" s="2">
        <v>4.9102369155434813</v>
      </c>
      <c r="Q49" s="2">
        <v>4.8430869999999997</v>
      </c>
      <c r="R49" s="2">
        <v>0.16542599999999999</v>
      </c>
      <c r="S49" s="2">
        <v>2.2306889999999999</v>
      </c>
      <c r="T49" s="2">
        <v>-2.6446689999999999</v>
      </c>
      <c r="U49" s="2">
        <v>0.49354149999999997</v>
      </c>
      <c r="V49" s="2">
        <v>57.844864799999996</v>
      </c>
      <c r="W49" s="2">
        <v>0.85922959999999993</v>
      </c>
      <c r="X49" s="2">
        <v>68.047356100000002</v>
      </c>
      <c r="Y49" s="2">
        <v>0.17696439999999999</v>
      </c>
      <c r="Z49" s="2">
        <v>68.917228399999999</v>
      </c>
      <c r="AA49" s="2">
        <v>0.7479363</v>
      </c>
      <c r="AB49" s="2">
        <v>66.658809899999994</v>
      </c>
      <c r="AC49" s="2">
        <v>0.28639539999999997</v>
      </c>
      <c r="AD49" s="2">
        <v>61.893776599999995</v>
      </c>
      <c r="AE49" s="2">
        <v>-0.17732009999999901</v>
      </c>
      <c r="AF49" s="2">
        <v>53.745696299999999</v>
      </c>
      <c r="AH49" t="s">
        <v>90</v>
      </c>
      <c r="AI49">
        <v>7</v>
      </c>
      <c r="AJ49" t="s">
        <v>144</v>
      </c>
      <c r="AK49">
        <v>7</v>
      </c>
      <c r="AL49" t="s">
        <v>90</v>
      </c>
      <c r="AM49">
        <v>7</v>
      </c>
      <c r="AN49">
        <v>1.1519999999999999</v>
      </c>
      <c r="AO49">
        <v>0</v>
      </c>
    </row>
    <row r="50" spans="1:41" x14ac:dyDescent="0.2">
      <c r="A50" t="s">
        <v>12</v>
      </c>
      <c r="B50" t="s">
        <v>72</v>
      </c>
      <c r="C50" s="4" t="s">
        <v>202</v>
      </c>
      <c r="D50" s="4" t="s">
        <v>102</v>
      </c>
      <c r="E50" s="2">
        <v>1.19</v>
      </c>
      <c r="F50" s="6">
        <v>1.19</v>
      </c>
      <c r="G50" s="3">
        <v>41254</v>
      </c>
      <c r="H50" s="3">
        <v>52211</v>
      </c>
      <c r="I50" t="s">
        <v>96</v>
      </c>
      <c r="J50">
        <v>30</v>
      </c>
      <c r="K50" s="2">
        <v>5.5</v>
      </c>
      <c r="L50" s="6">
        <v>94.876000000000005</v>
      </c>
      <c r="M50" s="6">
        <v>164.15199999999999</v>
      </c>
      <c r="N50">
        <v>6.0460000000000003</v>
      </c>
      <c r="O50" s="2">
        <v>48.554828999999998</v>
      </c>
      <c r="P50" s="2">
        <v>4.9628990319258968</v>
      </c>
      <c r="Q50" s="2">
        <v>5.2458460000000002</v>
      </c>
      <c r="R50" s="2">
        <v>0.86862099999999998</v>
      </c>
      <c r="S50" s="2">
        <v>-7.2792050000000001</v>
      </c>
      <c r="T50" s="2">
        <v>-6.0753399999999997</v>
      </c>
      <c r="U50" s="2">
        <v>-0.50582629999999995</v>
      </c>
      <c r="V50" s="2">
        <v>37.616126899999998</v>
      </c>
      <c r="W50" s="2">
        <v>-0.1652959</v>
      </c>
      <c r="X50" s="2">
        <v>48.1264617</v>
      </c>
      <c r="Y50" s="2">
        <v>-0.50601940000000001</v>
      </c>
      <c r="Z50" s="2">
        <v>57.250772099999999</v>
      </c>
      <c r="AA50" s="2">
        <v>-7.5669899999999998E-2</v>
      </c>
      <c r="AB50" s="2">
        <v>53.669370099999995</v>
      </c>
      <c r="AC50" s="2">
        <v>-0.38196769999999902</v>
      </c>
      <c r="AD50" s="2">
        <v>50.3907776</v>
      </c>
      <c r="AE50" s="2">
        <v>-0.54684599999999906</v>
      </c>
      <c r="AF50" s="2">
        <v>47.278073299999996</v>
      </c>
      <c r="AG50" t="s">
        <v>81</v>
      </c>
      <c r="AH50" t="s">
        <v>81</v>
      </c>
      <c r="AI50">
        <v>11</v>
      </c>
      <c r="AJ50" t="s">
        <v>153</v>
      </c>
      <c r="AK50">
        <v>11</v>
      </c>
      <c r="AL50" t="s">
        <v>92</v>
      </c>
      <c r="AM50">
        <v>10</v>
      </c>
      <c r="AN50">
        <v>6.6790000000000003</v>
      </c>
      <c r="AO50">
        <v>0</v>
      </c>
    </row>
    <row r="51" spans="1:41" x14ac:dyDescent="0.2">
      <c r="A51" t="s">
        <v>24</v>
      </c>
      <c r="B51" t="s">
        <v>74</v>
      </c>
      <c r="C51" s="4" t="s">
        <v>202</v>
      </c>
      <c r="D51" s="4" t="s">
        <v>102</v>
      </c>
      <c r="E51" s="2">
        <v>1.75</v>
      </c>
      <c r="F51" s="6">
        <v>1.75</v>
      </c>
      <c r="G51" s="3">
        <v>35186</v>
      </c>
      <c r="H51" s="3">
        <v>46157</v>
      </c>
      <c r="I51" t="s">
        <v>96</v>
      </c>
      <c r="J51">
        <v>30</v>
      </c>
      <c r="K51" s="2">
        <v>11.5</v>
      </c>
      <c r="L51" s="6"/>
      <c r="M51" s="6"/>
      <c r="O51" s="2">
        <v>30.74</v>
      </c>
      <c r="P51" s="2">
        <v>2.8255464401457586</v>
      </c>
      <c r="Q51" s="2">
        <v>-5.9103000000000003</v>
      </c>
      <c r="R51" s="2">
        <v>51.966368000000003</v>
      </c>
      <c r="S51" s="2">
        <v>-0.41469600000000001</v>
      </c>
      <c r="T51" s="2">
        <v>-2.2778849999999999</v>
      </c>
      <c r="U51" s="2">
        <v>-0.65817890000000001</v>
      </c>
      <c r="V51" s="2">
        <v>34.532276500000002</v>
      </c>
      <c r="W51" s="2">
        <v>-0.41360330000000001</v>
      </c>
      <c r="X51" s="2">
        <v>43.2983677</v>
      </c>
      <c r="Y51" s="2">
        <v>-0.80159999999999998</v>
      </c>
      <c r="Z51" s="2">
        <v>52.201782399999999</v>
      </c>
      <c r="AA51" s="2">
        <v>0.1693645</v>
      </c>
      <c r="AB51" s="2">
        <v>57.533910599999999</v>
      </c>
      <c r="AC51" s="2">
        <v>-0.68683399999999994</v>
      </c>
      <c r="AD51" s="2">
        <v>45.143814200000001</v>
      </c>
      <c r="AE51" s="2">
        <v>-3.2649600000000001E-2</v>
      </c>
      <c r="AF51" s="2">
        <v>56.277790099999997</v>
      </c>
      <c r="AG51" t="s">
        <v>86</v>
      </c>
      <c r="AH51" t="s">
        <v>86</v>
      </c>
      <c r="AI51">
        <v>9</v>
      </c>
      <c r="AJ51" t="s">
        <v>150</v>
      </c>
      <c r="AK51">
        <v>12</v>
      </c>
      <c r="AL51" t="s">
        <v>87</v>
      </c>
      <c r="AM51">
        <v>12</v>
      </c>
      <c r="AN51">
        <v>2.5640000000000001</v>
      </c>
      <c r="AO51">
        <v>0</v>
      </c>
    </row>
    <row r="52" spans="1:41" x14ac:dyDescent="0.2">
      <c r="A52" t="s">
        <v>67</v>
      </c>
      <c r="B52" t="s">
        <v>75</v>
      </c>
      <c r="C52" s="4" t="s">
        <v>114</v>
      </c>
      <c r="D52" s="4" t="s">
        <v>102</v>
      </c>
      <c r="E52" s="2">
        <v>500</v>
      </c>
      <c r="F52" s="6">
        <v>500</v>
      </c>
      <c r="G52" s="3">
        <v>44384</v>
      </c>
      <c r="H52" s="3">
        <v>46575</v>
      </c>
      <c r="I52" t="s">
        <v>96</v>
      </c>
      <c r="J52">
        <v>6</v>
      </c>
      <c r="K52" s="2">
        <v>3.5</v>
      </c>
      <c r="L52" s="6">
        <v>130.01400000000001</v>
      </c>
      <c r="M52" s="6">
        <v>149.339</v>
      </c>
      <c r="N52">
        <v>5.47</v>
      </c>
      <c r="O52" s="2">
        <v>83.391501000000005</v>
      </c>
      <c r="P52" s="2">
        <v>6.1044661208388673</v>
      </c>
      <c r="Q52" s="2">
        <v>-4.5577519999999998</v>
      </c>
      <c r="R52" s="2">
        <v>2.6536309999999999</v>
      </c>
      <c r="S52" s="2">
        <v>-5.0673849999999998</v>
      </c>
      <c r="T52" s="2">
        <v>-9.2404189999999993</v>
      </c>
      <c r="U52" s="2">
        <v>-0.62071829999999995</v>
      </c>
      <c r="V52" s="2">
        <v>35.290536599999996</v>
      </c>
      <c r="W52" s="2">
        <v>-0.31166699999999897</v>
      </c>
      <c r="X52" s="2">
        <v>45.280419099999996</v>
      </c>
      <c r="Y52" s="2">
        <v>0.74982879999999996</v>
      </c>
      <c r="Z52" s="2">
        <v>78.702669200000003</v>
      </c>
      <c r="AA52" s="2">
        <v>-0.1342621</v>
      </c>
      <c r="AB52" s="2">
        <v>52.7452878</v>
      </c>
      <c r="AC52" s="2">
        <v>-0.1742243</v>
      </c>
      <c r="AD52" s="2">
        <v>53.966187599999998</v>
      </c>
      <c r="AE52" s="2">
        <v>0.18170069999999999</v>
      </c>
      <c r="AF52" s="2">
        <v>60.0294539</v>
      </c>
      <c r="AG52" t="s">
        <v>85</v>
      </c>
      <c r="AH52" t="s">
        <v>85</v>
      </c>
      <c r="AI52">
        <v>14</v>
      </c>
      <c r="AJ52" t="s">
        <v>143</v>
      </c>
      <c r="AK52">
        <v>16</v>
      </c>
      <c r="AL52" t="s">
        <v>93</v>
      </c>
      <c r="AM52">
        <v>15</v>
      </c>
      <c r="AN52">
        <v>1.175</v>
      </c>
      <c r="AO52">
        <v>0</v>
      </c>
    </row>
    <row r="53" spans="1:41" x14ac:dyDescent="0.2">
      <c r="A53" t="s">
        <v>67</v>
      </c>
      <c r="B53" t="s">
        <v>75</v>
      </c>
      <c r="C53" s="4" t="s">
        <v>93</v>
      </c>
      <c r="D53" s="4" t="s">
        <v>102</v>
      </c>
      <c r="E53" s="2">
        <v>1.2</v>
      </c>
      <c r="F53" s="6">
        <v>1.2</v>
      </c>
      <c r="G53" s="3">
        <v>44384</v>
      </c>
      <c r="H53" s="3">
        <v>48036</v>
      </c>
      <c r="I53" s="3" t="s">
        <v>96</v>
      </c>
      <c r="J53">
        <v>10</v>
      </c>
      <c r="K53">
        <v>4.45</v>
      </c>
      <c r="L53">
        <v>47.414999999999999</v>
      </c>
      <c r="M53" s="2">
        <v>71.069999999999993</v>
      </c>
      <c r="N53" s="6">
        <v>4.7039999999999997</v>
      </c>
      <c r="O53" s="2">
        <v>83.391501000000005</v>
      </c>
      <c r="P53" s="2">
        <v>6.1044661208388673</v>
      </c>
      <c r="Q53" s="2">
        <v>-4.5577519999999998</v>
      </c>
      <c r="R53" s="2">
        <v>2.6536309999999999</v>
      </c>
      <c r="S53" s="2">
        <v>-5.0673849999999998</v>
      </c>
      <c r="T53" s="2">
        <v>-9.2404189999999993</v>
      </c>
      <c r="U53" s="2">
        <v>-0.62071829999999995</v>
      </c>
      <c r="V53" s="2">
        <v>35.290536599999996</v>
      </c>
      <c r="W53" s="2">
        <v>-0.31166699999999897</v>
      </c>
      <c r="X53" s="2">
        <v>45.280419099999996</v>
      </c>
      <c r="Y53" s="2">
        <v>0.74982879999999996</v>
      </c>
      <c r="Z53" s="2">
        <v>78.702669200000003</v>
      </c>
      <c r="AA53" s="2">
        <v>-0.1342621</v>
      </c>
      <c r="AB53" s="2">
        <v>52.7452878</v>
      </c>
      <c r="AC53" s="2">
        <v>-0.1742243</v>
      </c>
      <c r="AD53" s="2">
        <v>53.966187599999998</v>
      </c>
      <c r="AE53" s="2">
        <v>0.18170069999999999</v>
      </c>
      <c r="AF53" s="2">
        <v>60.0294539</v>
      </c>
      <c r="AG53" t="s">
        <v>85</v>
      </c>
      <c r="AH53" t="s">
        <v>85</v>
      </c>
      <c r="AI53">
        <v>14</v>
      </c>
      <c r="AJ53" t="s">
        <v>143</v>
      </c>
      <c r="AK53">
        <v>16</v>
      </c>
      <c r="AL53" t="s">
        <v>93</v>
      </c>
      <c r="AM53">
        <v>15</v>
      </c>
      <c r="AN53" s="2">
        <v>1.5549999999999999</v>
      </c>
      <c r="AO53">
        <v>0</v>
      </c>
    </row>
    <row r="54" spans="1:41" x14ac:dyDescent="0.2">
      <c r="A54" t="s">
        <v>73</v>
      </c>
      <c r="B54" t="s">
        <v>72</v>
      </c>
      <c r="C54" s="4" t="s">
        <v>202</v>
      </c>
      <c r="D54" s="4" t="s">
        <v>103</v>
      </c>
      <c r="E54" s="2">
        <v>628.51</v>
      </c>
      <c r="F54" s="6">
        <v>5.3007506114531502</v>
      </c>
      <c r="G54" s="3">
        <v>39780</v>
      </c>
      <c r="H54" s="3">
        <v>47085</v>
      </c>
      <c r="I54" t="s">
        <v>96</v>
      </c>
      <c r="J54">
        <v>20</v>
      </c>
      <c r="K54" s="2">
        <v>15</v>
      </c>
      <c r="L54" s="6">
        <v>10.19</v>
      </c>
      <c r="M54" s="6"/>
      <c r="N54">
        <v>16.97</v>
      </c>
      <c r="O54" s="2">
        <v>5.7635820000000004</v>
      </c>
      <c r="P54" s="2">
        <v>10.218037150524646</v>
      </c>
      <c r="Q54" s="2">
        <v>7.3180810000000003</v>
      </c>
      <c r="R54" s="2">
        <v>6.5639519999999996</v>
      </c>
      <c r="S54" s="2">
        <v>7.3717949999999997</v>
      </c>
      <c r="T54" s="2">
        <v>-0.79276899999999995</v>
      </c>
      <c r="U54" s="2">
        <v>-1.1576584999999999</v>
      </c>
      <c r="V54" s="2">
        <v>24.422042999999999</v>
      </c>
      <c r="W54" s="2">
        <v>-0.95590520000000001</v>
      </c>
      <c r="X54" s="2">
        <v>32.753838699999996</v>
      </c>
      <c r="Y54" s="2">
        <v>-1.7074110999999901</v>
      </c>
      <c r="Z54" s="2">
        <v>36.729079200000001</v>
      </c>
      <c r="AA54" s="2">
        <v>-0.84138829999999998</v>
      </c>
      <c r="AB54" s="2">
        <v>41.592903100000001</v>
      </c>
      <c r="AC54" s="2">
        <v>-1.0404247</v>
      </c>
      <c r="AD54" s="2">
        <v>39.058269599999996</v>
      </c>
      <c r="AE54" s="2">
        <v>-0.69763209999999998</v>
      </c>
      <c r="AF54" s="2">
        <v>44.638941199999998</v>
      </c>
      <c r="AH54" t="s">
        <v>80</v>
      </c>
      <c r="AI54">
        <v>13</v>
      </c>
      <c r="AL54" t="s">
        <v>80</v>
      </c>
      <c r="AM54">
        <v>13</v>
      </c>
      <c r="AN54">
        <v>3.4239999999999999</v>
      </c>
      <c r="AO54">
        <v>0</v>
      </c>
    </row>
    <row r="55" spans="1:41" x14ac:dyDescent="0.2">
      <c r="A55" t="s">
        <v>60</v>
      </c>
      <c r="B55" t="s">
        <v>75</v>
      </c>
      <c r="C55" s="4" t="s">
        <v>202</v>
      </c>
      <c r="D55" s="4" t="s">
        <v>102</v>
      </c>
      <c r="E55" s="2">
        <v>2</v>
      </c>
      <c r="F55" s="6">
        <v>2</v>
      </c>
      <c r="G55" s="3">
        <v>42802</v>
      </c>
      <c r="H55" s="3">
        <v>53759</v>
      </c>
      <c r="I55" t="s">
        <v>96</v>
      </c>
      <c r="J55">
        <v>30</v>
      </c>
      <c r="K55" s="2">
        <v>6.5</v>
      </c>
      <c r="L55" s="6">
        <v>92.563000000000002</v>
      </c>
      <c r="M55" s="6">
        <v>170.72300000000001</v>
      </c>
      <c r="N55">
        <v>6.0119999999999996</v>
      </c>
      <c r="O55" s="2">
        <v>29.338065</v>
      </c>
      <c r="P55" s="2">
        <v>7.1142679929837209</v>
      </c>
      <c r="Q55" s="2">
        <v>5.0462069999999999</v>
      </c>
      <c r="R55" s="2">
        <v>0.73869399999999996</v>
      </c>
      <c r="S55" s="2">
        <v>-16.554821</v>
      </c>
      <c r="T55" s="2">
        <v>-19.622381000000001</v>
      </c>
      <c r="U55" s="2">
        <v>-2.0659E-2</v>
      </c>
      <c r="V55" s="2">
        <v>47.436657599999997</v>
      </c>
      <c r="W55" s="2">
        <v>0.16137559999999998</v>
      </c>
      <c r="X55" s="2">
        <v>54.478268899999996</v>
      </c>
      <c r="Y55" s="2">
        <v>0.50658309999999995</v>
      </c>
      <c r="Z55" s="2">
        <v>74.547643399999998</v>
      </c>
      <c r="AA55" s="2">
        <v>0.69807089999999994</v>
      </c>
      <c r="AB55" s="2">
        <v>65.872361699999999</v>
      </c>
      <c r="AC55" s="2">
        <v>0.2216168</v>
      </c>
      <c r="AD55" s="2">
        <v>60.778891399999999</v>
      </c>
      <c r="AE55" s="2">
        <v>-0.62198520000000002</v>
      </c>
      <c r="AF55" s="2">
        <v>45.962950299999996</v>
      </c>
      <c r="AG55" t="s">
        <v>92</v>
      </c>
      <c r="AH55" t="s">
        <v>92</v>
      </c>
      <c r="AI55">
        <v>10</v>
      </c>
      <c r="AJ55" t="s">
        <v>157</v>
      </c>
      <c r="AK55">
        <v>8</v>
      </c>
      <c r="AL55" t="s">
        <v>86</v>
      </c>
      <c r="AM55">
        <v>9</v>
      </c>
      <c r="AN55">
        <v>5.5960000000000001</v>
      </c>
      <c r="AO55">
        <v>0</v>
      </c>
    </row>
    <row r="56" spans="1:41" x14ac:dyDescent="0.2">
      <c r="A56" t="s">
        <v>53</v>
      </c>
      <c r="B56" t="s">
        <v>75</v>
      </c>
      <c r="C56" s="4" t="s">
        <v>202</v>
      </c>
      <c r="D56" s="4" t="s">
        <v>102</v>
      </c>
      <c r="E56" s="2">
        <v>300</v>
      </c>
      <c r="F56" s="6">
        <v>300</v>
      </c>
      <c r="G56" s="3">
        <v>38806</v>
      </c>
      <c r="H56" s="3">
        <v>49765</v>
      </c>
      <c r="I56" t="s">
        <v>96</v>
      </c>
      <c r="J56">
        <v>30</v>
      </c>
      <c r="K56" s="2">
        <v>7.75</v>
      </c>
      <c r="L56" s="6">
        <v>381.21</v>
      </c>
      <c r="M56" s="6">
        <v>415.34300000000002</v>
      </c>
      <c r="N56">
        <v>8.3379999999999992</v>
      </c>
      <c r="O56" s="2">
        <v>47.878064999999999</v>
      </c>
      <c r="P56" s="2">
        <v>4.1084653696912543</v>
      </c>
      <c r="Q56" s="2">
        <v>7.9974850000000002</v>
      </c>
      <c r="R56" s="2">
        <v>8.7303850000000001</v>
      </c>
      <c r="S56" s="2">
        <v>-1.015091</v>
      </c>
      <c r="T56" s="2">
        <v>-2.2872919999999999</v>
      </c>
      <c r="U56" s="2">
        <v>-1.0743072999999901</v>
      </c>
      <c r="V56" s="2">
        <v>26.109199199999999</v>
      </c>
      <c r="W56" s="2">
        <v>-0.64341039999999905</v>
      </c>
      <c r="X56" s="2">
        <v>38.829993799999997</v>
      </c>
      <c r="Y56" s="2">
        <v>-1.7357942</v>
      </c>
      <c r="Z56" s="2">
        <v>36.244250399999999</v>
      </c>
      <c r="AA56" s="2">
        <v>-0.58385140000000002</v>
      </c>
      <c r="AB56" s="2">
        <v>45.654625899999999</v>
      </c>
      <c r="AC56" s="2">
        <v>-0.92018549999999999</v>
      </c>
      <c r="AD56" s="2">
        <v>41.127670799999997</v>
      </c>
      <c r="AE56" s="2">
        <v>-1.1248171999999901</v>
      </c>
      <c r="AF56" s="2">
        <v>37.1621387</v>
      </c>
      <c r="AG56" t="s">
        <v>83</v>
      </c>
      <c r="AH56" t="s">
        <v>79</v>
      </c>
      <c r="AI56">
        <v>16</v>
      </c>
      <c r="AJ56" t="s">
        <v>147</v>
      </c>
      <c r="AK56">
        <v>15</v>
      </c>
      <c r="AN56">
        <v>8.0129999999999999</v>
      </c>
      <c r="AO56">
        <v>0</v>
      </c>
    </row>
    <row r="57" spans="1:41" x14ac:dyDescent="0.2">
      <c r="A57" t="s">
        <v>28</v>
      </c>
      <c r="B57" t="s">
        <v>74</v>
      </c>
      <c r="C57" s="4" t="s">
        <v>202</v>
      </c>
      <c r="D57" s="4" t="s">
        <v>102</v>
      </c>
      <c r="E57" s="2">
        <v>975</v>
      </c>
      <c r="F57" s="6">
        <v>975</v>
      </c>
      <c r="G57" s="3">
        <v>35699</v>
      </c>
      <c r="H57" s="3">
        <v>46660</v>
      </c>
      <c r="I57" t="s">
        <v>96</v>
      </c>
      <c r="J57">
        <v>30</v>
      </c>
      <c r="K57" s="2">
        <v>8.875</v>
      </c>
      <c r="L57" s="6">
        <v>38.831000000000003</v>
      </c>
      <c r="M57" s="6">
        <v>60.253999999999998</v>
      </c>
      <c r="N57">
        <v>4.5369999999999999</v>
      </c>
      <c r="O57" s="2">
        <v>73.580077000000003</v>
      </c>
      <c r="P57" s="2">
        <v>1.1336590950096674</v>
      </c>
      <c r="Q57" s="2">
        <v>7.3714880000000003</v>
      </c>
      <c r="R57" s="2">
        <v>2.9618540000000002</v>
      </c>
      <c r="S57" s="2">
        <v>-2.1810269999999998</v>
      </c>
      <c r="T57" s="2">
        <v>2.809523</v>
      </c>
      <c r="U57" s="2">
        <v>-0.32457959999999902</v>
      </c>
      <c r="V57" s="2">
        <v>41.284838299999997</v>
      </c>
      <c r="W57" s="2">
        <v>-0.36016870000000001</v>
      </c>
      <c r="X57" s="2">
        <v>44.337351099999999</v>
      </c>
      <c r="Y57" s="2">
        <v>9.6288600000000002E-2</v>
      </c>
      <c r="Z57" s="2">
        <v>67.539156699999992</v>
      </c>
      <c r="AA57" s="2">
        <v>0.17706459999999999</v>
      </c>
      <c r="AB57" s="2">
        <v>57.655352199999996</v>
      </c>
      <c r="AC57" s="2">
        <v>-0.21486759999999999</v>
      </c>
      <c r="AD57" s="2">
        <v>53.266687900000001</v>
      </c>
      <c r="AE57" s="2">
        <v>0.10145979999999999</v>
      </c>
      <c r="AF57" s="2">
        <v>58.625038399999994</v>
      </c>
      <c r="AG57" t="s">
        <v>81</v>
      </c>
      <c r="AH57" t="s">
        <v>92</v>
      </c>
      <c r="AI57">
        <v>10</v>
      </c>
      <c r="AJ57" t="s">
        <v>153</v>
      </c>
      <c r="AK57">
        <v>11</v>
      </c>
      <c r="AL57" t="s">
        <v>81</v>
      </c>
      <c r="AM57">
        <v>11</v>
      </c>
      <c r="AN57">
        <v>0.66300000000000003</v>
      </c>
      <c r="AO57">
        <v>0</v>
      </c>
    </row>
    <row r="58" spans="1:41" x14ac:dyDescent="0.2">
      <c r="A58" t="s">
        <v>66</v>
      </c>
      <c r="B58" t="s">
        <v>75</v>
      </c>
      <c r="C58" s="4" t="s">
        <v>202</v>
      </c>
      <c r="D58" s="4" t="s">
        <v>102</v>
      </c>
      <c r="E58" s="2">
        <v>500</v>
      </c>
      <c r="F58" s="6">
        <v>500</v>
      </c>
      <c r="G58" s="3">
        <v>43377</v>
      </c>
      <c r="H58" s="3">
        <v>47030</v>
      </c>
      <c r="I58" t="s">
        <v>96</v>
      </c>
      <c r="J58">
        <v>10</v>
      </c>
      <c r="K58" s="2">
        <v>8.375</v>
      </c>
      <c r="L58" s="6">
        <v>218.79599999999999</v>
      </c>
      <c r="M58" s="6">
        <v>237.643</v>
      </c>
      <c r="N58">
        <v>6.4390000000000001</v>
      </c>
      <c r="O58" s="2">
        <v>32.484369999999998</v>
      </c>
      <c r="P58" s="2">
        <v>3.245391581594856</v>
      </c>
      <c r="Q58" s="2">
        <v>3.5346109999999999</v>
      </c>
      <c r="R58" s="2">
        <v>4.7</v>
      </c>
      <c r="S58" s="2">
        <v>15.895362</v>
      </c>
      <c r="T58" s="2">
        <v>-2.4747089999999998</v>
      </c>
      <c r="U58" s="2">
        <v>-0.99461829999999996</v>
      </c>
      <c r="V58" s="2">
        <v>27.722226799999998</v>
      </c>
      <c r="W58" s="2">
        <v>-0.71205549999999995</v>
      </c>
      <c r="X58" s="2">
        <v>37.495257099999996</v>
      </c>
      <c r="Y58" s="2">
        <v>-0.8689907</v>
      </c>
      <c r="Z58" s="2">
        <v>51.050641399999996</v>
      </c>
      <c r="AA58" s="2">
        <v>-0.52278089999999999</v>
      </c>
      <c r="AB58" s="2">
        <v>46.617794400000001</v>
      </c>
      <c r="AC58" s="2">
        <v>-0.61992760000000002</v>
      </c>
      <c r="AD58" s="2">
        <v>46.295320400000001</v>
      </c>
      <c r="AE58" s="2">
        <v>-9.9427099999999893E-2</v>
      </c>
      <c r="AF58" s="2">
        <v>55.109017699999995</v>
      </c>
      <c r="AG58" t="s">
        <v>79</v>
      </c>
      <c r="AH58" t="s">
        <v>79</v>
      </c>
      <c r="AI58">
        <v>16</v>
      </c>
      <c r="AJ58" t="s">
        <v>147</v>
      </c>
      <c r="AK58">
        <v>15</v>
      </c>
      <c r="AN58">
        <v>0.77800000000000002</v>
      </c>
      <c r="AO58">
        <v>0</v>
      </c>
    </row>
    <row r="59" spans="1:41" x14ac:dyDescent="0.2">
      <c r="A59" t="s">
        <v>41</v>
      </c>
      <c r="B59" t="s">
        <v>74</v>
      </c>
      <c r="C59" s="4" t="s">
        <v>202</v>
      </c>
      <c r="D59" s="4" t="s">
        <v>102</v>
      </c>
      <c r="E59" s="2">
        <v>500</v>
      </c>
      <c r="F59" s="6">
        <v>500</v>
      </c>
      <c r="G59" s="3">
        <v>42821</v>
      </c>
      <c r="H59" s="3">
        <v>46473</v>
      </c>
      <c r="I59" t="s">
        <v>96</v>
      </c>
      <c r="J59">
        <v>10</v>
      </c>
      <c r="K59" s="2">
        <v>4.7</v>
      </c>
      <c r="L59" s="6">
        <v>18.84</v>
      </c>
      <c r="M59" s="6">
        <v>44.249000000000002</v>
      </c>
      <c r="N59">
        <v>4.3869999999999996</v>
      </c>
      <c r="O59" s="2">
        <v>19.389945999999998</v>
      </c>
      <c r="P59" s="2">
        <v>6.5038735252699329</v>
      </c>
      <c r="Q59" s="2">
        <v>4.2680259999999999</v>
      </c>
      <c r="R59" s="2">
        <v>3.908795</v>
      </c>
      <c r="S59" s="2">
        <v>4.5887019999999996</v>
      </c>
      <c r="T59" s="2">
        <v>-0.37371100000000002</v>
      </c>
      <c r="U59" s="2">
        <v>-0.80708069999999998</v>
      </c>
      <c r="V59" s="2">
        <v>31.518275599999999</v>
      </c>
      <c r="W59" s="2">
        <v>-0.67867049999999995</v>
      </c>
      <c r="X59" s="2">
        <v>38.144395699999997</v>
      </c>
      <c r="Y59" s="2">
        <v>9.4478300000000001E-2</v>
      </c>
      <c r="Z59" s="2">
        <v>67.508233799999999</v>
      </c>
      <c r="AA59" s="2">
        <v>-0.1553139</v>
      </c>
      <c r="AB59" s="2">
        <v>52.413270999999995</v>
      </c>
      <c r="AC59" s="2">
        <v>-0.49072169999999998</v>
      </c>
      <c r="AD59" s="2">
        <v>48.519044799999996</v>
      </c>
      <c r="AE59" s="2">
        <v>-0.16338709999999901</v>
      </c>
      <c r="AF59" s="2">
        <v>53.989558499999994</v>
      </c>
      <c r="AG59" t="s">
        <v>81</v>
      </c>
      <c r="AH59" t="s">
        <v>81</v>
      </c>
      <c r="AI59">
        <v>11</v>
      </c>
      <c r="AJ59" t="s">
        <v>153</v>
      </c>
      <c r="AK59">
        <v>11</v>
      </c>
      <c r="AL59" t="s">
        <v>87</v>
      </c>
      <c r="AM59">
        <v>12</v>
      </c>
      <c r="AN59">
        <v>0.63900000000000001</v>
      </c>
      <c r="AO59">
        <v>0</v>
      </c>
    </row>
    <row r="60" spans="1:41" x14ac:dyDescent="0.2">
      <c r="A60" t="s">
        <v>33</v>
      </c>
      <c r="B60" t="s">
        <v>74</v>
      </c>
      <c r="C60" s="4" t="s">
        <v>202</v>
      </c>
      <c r="D60" s="4" t="s">
        <v>108</v>
      </c>
      <c r="E60" s="2">
        <v>464.86</v>
      </c>
      <c r="F60" s="6">
        <v>140.86666666666667</v>
      </c>
      <c r="G60" s="3">
        <v>38383</v>
      </c>
      <c r="H60" s="3">
        <v>49340</v>
      </c>
      <c r="I60" t="s">
        <v>96</v>
      </c>
      <c r="J60">
        <v>30</v>
      </c>
      <c r="K60" s="2">
        <v>7.39</v>
      </c>
      <c r="L60" s="6">
        <v>-290.3</v>
      </c>
      <c r="M60" s="6"/>
      <c r="N60">
        <v>3.1110000000000002</v>
      </c>
      <c r="O60" s="2">
        <v>46.737687999999999</v>
      </c>
      <c r="P60" s="2">
        <v>9.3044893298844684</v>
      </c>
      <c r="Q60" s="2">
        <v>4.9590379999999996</v>
      </c>
      <c r="R60" s="2">
        <v>3.4810650000000001</v>
      </c>
      <c r="S60" s="2">
        <v>9.4299999999999995E-2</v>
      </c>
      <c r="T60" s="2">
        <v>-1.032735</v>
      </c>
      <c r="U60" s="2">
        <v>-0.41017049999999999</v>
      </c>
      <c r="V60" s="2">
        <v>39.552347099999999</v>
      </c>
      <c r="W60" s="2">
        <v>-0.76583590000000001</v>
      </c>
      <c r="X60" s="2">
        <v>36.449549900000001</v>
      </c>
      <c r="Y60" s="2">
        <v>-0.93556549999999905</v>
      </c>
      <c r="Z60" s="2">
        <v>49.913437299999998</v>
      </c>
      <c r="AA60" s="2">
        <v>6.91972E-2</v>
      </c>
      <c r="AB60" s="2">
        <v>55.954129999999999</v>
      </c>
      <c r="AC60" s="2">
        <v>-0.37914769999999998</v>
      </c>
      <c r="AD60" s="2">
        <v>50.439311799999999</v>
      </c>
      <c r="AE60" s="2">
        <v>8.1056599999999895E-2</v>
      </c>
      <c r="AF60" s="2">
        <v>58.267931599999997</v>
      </c>
      <c r="AG60" t="s">
        <v>82</v>
      </c>
      <c r="AH60" t="s">
        <v>87</v>
      </c>
      <c r="AI60">
        <v>12</v>
      </c>
      <c r="AJ60" t="s">
        <v>151</v>
      </c>
      <c r="AK60">
        <v>13</v>
      </c>
      <c r="AL60" t="s">
        <v>87</v>
      </c>
      <c r="AM60">
        <v>12</v>
      </c>
      <c r="AN60">
        <v>0.66500000000000004</v>
      </c>
      <c r="AO60">
        <v>0</v>
      </c>
    </row>
    <row r="61" spans="1:41" x14ac:dyDescent="0.2">
      <c r="A61" t="s">
        <v>51</v>
      </c>
      <c r="B61" t="s">
        <v>75</v>
      </c>
      <c r="C61" s="4" t="s">
        <v>202</v>
      </c>
      <c r="D61" s="4" t="s">
        <v>102</v>
      </c>
      <c r="E61" s="2">
        <v>2</v>
      </c>
      <c r="F61" s="6">
        <v>2</v>
      </c>
      <c r="G61" s="3">
        <v>38385</v>
      </c>
      <c r="H61" s="3">
        <v>47516</v>
      </c>
      <c r="I61" t="s">
        <v>96</v>
      </c>
      <c r="J61">
        <v>25</v>
      </c>
      <c r="K61" s="2">
        <v>9.5</v>
      </c>
      <c r="L61" s="6">
        <v>21.254999999999999</v>
      </c>
      <c r="M61" s="6">
        <v>56.75</v>
      </c>
      <c r="N61">
        <v>4.4530000000000003</v>
      </c>
      <c r="O61" s="2">
        <v>71.082311000000004</v>
      </c>
      <c r="P61" s="2">
        <v>4.4455495264384979</v>
      </c>
      <c r="Q61" s="2">
        <v>6.5692360000000001</v>
      </c>
      <c r="R61" s="2">
        <v>7.1301249999999996</v>
      </c>
      <c r="S61" s="2">
        <v>1.7104900000000001</v>
      </c>
      <c r="T61" s="2">
        <v>-2.8070189999999999</v>
      </c>
      <c r="U61" s="2">
        <v>-0.65814109999999904</v>
      </c>
      <c r="V61" s="2">
        <v>34.533041699999998</v>
      </c>
      <c r="W61" s="2">
        <v>-0.26025019999999999</v>
      </c>
      <c r="X61" s="2">
        <v>46.280168400000001</v>
      </c>
      <c r="Y61" s="2">
        <v>-1.5795105999999901</v>
      </c>
      <c r="Z61" s="2">
        <v>38.913824399999996</v>
      </c>
      <c r="AA61" s="2">
        <v>-6.9696399999999895E-2</v>
      </c>
      <c r="AB61" s="2">
        <v>53.763580599999997</v>
      </c>
      <c r="AC61" s="2">
        <v>-0.52014839999999996</v>
      </c>
      <c r="AD61" s="2">
        <v>48.012590599999996</v>
      </c>
      <c r="AE61" s="2">
        <v>-5.60031E-2</v>
      </c>
      <c r="AF61" s="2">
        <v>55.869045700000001</v>
      </c>
      <c r="AG61" t="s">
        <v>86</v>
      </c>
      <c r="AH61" t="s">
        <v>113</v>
      </c>
      <c r="AI61">
        <v>8</v>
      </c>
      <c r="AJ61" t="s">
        <v>148</v>
      </c>
      <c r="AK61">
        <v>14</v>
      </c>
      <c r="AL61" t="s">
        <v>87</v>
      </c>
      <c r="AM61">
        <v>12</v>
      </c>
      <c r="AN61">
        <v>1.569</v>
      </c>
      <c r="AO61">
        <v>0</v>
      </c>
    </row>
    <row r="62" spans="1:41" x14ac:dyDescent="0.2">
      <c r="A62" t="s">
        <v>50</v>
      </c>
      <c r="B62" t="s">
        <v>75</v>
      </c>
      <c r="C62" s="4" t="s">
        <v>202</v>
      </c>
      <c r="D62" s="4" t="s">
        <v>102</v>
      </c>
      <c r="E62" s="2">
        <v>1.4</v>
      </c>
      <c r="F62" s="6">
        <v>1.4</v>
      </c>
      <c r="G62" s="3">
        <v>36706</v>
      </c>
      <c r="H62" s="3">
        <v>47649</v>
      </c>
      <c r="I62" t="s">
        <v>96</v>
      </c>
      <c r="J62">
        <v>29</v>
      </c>
      <c r="K62" s="2">
        <v>9.75</v>
      </c>
      <c r="L62" s="6">
        <v>24.045999999999999</v>
      </c>
      <c r="M62" s="6">
        <v>59.045000000000002</v>
      </c>
      <c r="N62">
        <v>4.4779999999999998</v>
      </c>
      <c r="O62" s="2">
        <v>81.845911000000001</v>
      </c>
      <c r="P62" s="2"/>
      <c r="Q62" s="2">
        <v>3.7673269999999999</v>
      </c>
      <c r="R62" s="2">
        <v>2.1868789999999998</v>
      </c>
      <c r="S62" s="2">
        <v>0.81320300000000001</v>
      </c>
      <c r="T62" s="2">
        <v>-4.352843</v>
      </c>
      <c r="U62" s="2">
        <v>0.26031844999999998</v>
      </c>
      <c r="V62" s="2">
        <v>53.124072349999999</v>
      </c>
      <c r="W62" s="2">
        <v>0.23145479999999999</v>
      </c>
      <c r="X62" s="2">
        <v>55.840890299999998</v>
      </c>
      <c r="Y62" s="2">
        <v>1.0670944</v>
      </c>
      <c r="Z62" s="2">
        <v>84.122073400000005</v>
      </c>
      <c r="AA62" s="2">
        <v>-7.5907050000000004E-2</v>
      </c>
      <c r="AB62" s="2">
        <v>53.665629850000002</v>
      </c>
      <c r="AC62" s="2">
        <v>0.32515609999999995</v>
      </c>
      <c r="AD62" s="2">
        <v>62.560875549999999</v>
      </c>
      <c r="AE62" s="2">
        <v>-1.195424249999995</v>
      </c>
      <c r="AF62" s="2">
        <v>35.926339599999999</v>
      </c>
      <c r="AG62" t="s">
        <v>91</v>
      </c>
      <c r="AH62" t="s">
        <v>91</v>
      </c>
      <c r="AI62">
        <v>3</v>
      </c>
      <c r="AJ62" t="s">
        <v>156</v>
      </c>
      <c r="AK62">
        <v>9</v>
      </c>
      <c r="AN62">
        <v>2.0219999999999998</v>
      </c>
      <c r="AO62">
        <v>0</v>
      </c>
    </row>
    <row r="63" spans="1:41" x14ac:dyDescent="0.2">
      <c r="A63" t="s">
        <v>21</v>
      </c>
      <c r="B63" t="s">
        <v>72</v>
      </c>
      <c r="C63" s="4" t="s">
        <v>114</v>
      </c>
      <c r="D63" s="4" t="s">
        <v>102</v>
      </c>
      <c r="E63" s="2">
        <v>600</v>
      </c>
      <c r="F63" s="6">
        <v>600</v>
      </c>
      <c r="G63" s="3">
        <v>46128</v>
      </c>
      <c r="H63" s="3">
        <v>48320</v>
      </c>
      <c r="I63" t="s">
        <v>95</v>
      </c>
      <c r="J63">
        <v>6</v>
      </c>
      <c r="K63" s="2">
        <v>8.75</v>
      </c>
      <c r="L63" s="6">
        <v>372.13600000000002</v>
      </c>
      <c r="M63" s="6">
        <v>414.05099999999999</v>
      </c>
      <c r="N63">
        <v>8.0879999999999992</v>
      </c>
      <c r="O63" s="2">
        <v>20.206</v>
      </c>
      <c r="P63" s="2">
        <v>2.1</v>
      </c>
      <c r="Q63" s="2">
        <v>5.7460000000000004</v>
      </c>
      <c r="R63" s="2">
        <v>2.2650000000000001</v>
      </c>
      <c r="S63" s="2">
        <v>-3.738</v>
      </c>
      <c r="T63" s="2">
        <v>-2.7519999999999998</v>
      </c>
      <c r="U63" s="2">
        <v>-1.5153395999999999</v>
      </c>
      <c r="V63" s="2">
        <v>17.182028599999999</v>
      </c>
      <c r="W63" s="2">
        <v>-1.6934449</v>
      </c>
      <c r="X63" s="2">
        <v>18.413101999999999</v>
      </c>
      <c r="Y63" s="2">
        <v>-2.1191762000000001</v>
      </c>
      <c r="Z63" s="2">
        <v>29.695472299999999</v>
      </c>
      <c r="AA63" s="2">
        <v>-1.2848458</v>
      </c>
      <c r="AB63" s="2">
        <v>34.598948299999996</v>
      </c>
      <c r="AC63" s="2">
        <v>-1.6266053</v>
      </c>
      <c r="AD63" s="2">
        <v>28.969689199999998</v>
      </c>
      <c r="AE63" s="2">
        <v>-1.2136130000000001</v>
      </c>
      <c r="AF63" s="2">
        <v>35.607991200000001</v>
      </c>
      <c r="AG63" t="s">
        <v>79</v>
      </c>
      <c r="AH63" t="s">
        <v>79</v>
      </c>
      <c r="AI63">
        <v>16</v>
      </c>
      <c r="AJ63" t="s">
        <v>143</v>
      </c>
      <c r="AK63">
        <v>16</v>
      </c>
      <c r="AN63">
        <v>5.4640000000000004</v>
      </c>
      <c r="AO63">
        <v>1</v>
      </c>
    </row>
    <row r="64" spans="1:41" x14ac:dyDescent="0.2">
      <c r="A64" t="s">
        <v>21</v>
      </c>
      <c r="B64" t="s">
        <v>72</v>
      </c>
      <c r="C64" s="4" t="s">
        <v>93</v>
      </c>
      <c r="D64" s="4" t="s">
        <v>102</v>
      </c>
      <c r="E64" s="2">
        <v>650</v>
      </c>
      <c r="F64" s="6">
        <v>650</v>
      </c>
      <c r="G64" s="3">
        <v>46128</v>
      </c>
      <c r="H64" s="3">
        <v>50146</v>
      </c>
      <c r="I64" t="s">
        <v>95</v>
      </c>
      <c r="J64">
        <v>11</v>
      </c>
      <c r="K64" s="2">
        <v>9.5</v>
      </c>
      <c r="L64" s="6">
        <v>426.96600000000001</v>
      </c>
      <c r="M64" s="6">
        <v>487.52800000000002</v>
      </c>
      <c r="N64">
        <v>8.8740000000000006</v>
      </c>
      <c r="O64" s="2">
        <v>20.206</v>
      </c>
      <c r="P64" s="2">
        <v>2.1</v>
      </c>
      <c r="Q64" s="2">
        <v>5.7460000000000004</v>
      </c>
      <c r="R64" s="2">
        <v>2.2650000000000001</v>
      </c>
      <c r="S64" s="2">
        <v>-3.738</v>
      </c>
      <c r="T64" s="2">
        <v>-2.7519999999999998</v>
      </c>
      <c r="U64" s="2">
        <v>-1.5153395999999999</v>
      </c>
      <c r="V64" s="2">
        <v>17.182028599999999</v>
      </c>
      <c r="W64" s="2">
        <v>-1.6934449</v>
      </c>
      <c r="X64" s="2">
        <v>18.413101999999999</v>
      </c>
      <c r="Y64" s="2">
        <v>-2.1191762000000001</v>
      </c>
      <c r="Z64" s="2">
        <v>29.695472299999999</v>
      </c>
      <c r="AA64" s="2">
        <v>-1.2848458</v>
      </c>
      <c r="AB64" s="2">
        <v>34.598948299999996</v>
      </c>
      <c r="AC64" s="2">
        <v>-1.6266053</v>
      </c>
      <c r="AD64" s="2">
        <v>28.969689199999998</v>
      </c>
      <c r="AE64" s="2">
        <v>-1.2136130000000001</v>
      </c>
      <c r="AF64" s="2">
        <v>35.607991200000001</v>
      </c>
      <c r="AG64" t="s">
        <v>79</v>
      </c>
      <c r="AH64" t="s">
        <v>79</v>
      </c>
      <c r="AI64">
        <v>16</v>
      </c>
      <c r="AJ64" t="s">
        <v>143</v>
      </c>
      <c r="AK64">
        <v>16</v>
      </c>
      <c r="AN64">
        <v>6.2169999999999996</v>
      </c>
      <c r="AO64">
        <v>1</v>
      </c>
    </row>
    <row r="65" spans="1:41" x14ac:dyDescent="0.2">
      <c r="A65" t="s">
        <v>16</v>
      </c>
      <c r="B65" t="s">
        <v>72</v>
      </c>
      <c r="C65" s="4" t="s">
        <v>202</v>
      </c>
      <c r="D65" s="4" t="s">
        <v>102</v>
      </c>
      <c r="E65" s="2">
        <v>1.1000000000000001</v>
      </c>
      <c r="F65" s="6">
        <v>1.1000000000000001</v>
      </c>
      <c r="G65" s="3">
        <v>42878</v>
      </c>
      <c r="H65" s="3">
        <v>48722</v>
      </c>
      <c r="I65" t="s">
        <v>95</v>
      </c>
      <c r="J65">
        <v>16</v>
      </c>
      <c r="K65" s="2">
        <v>6.25</v>
      </c>
      <c r="L65" s="6">
        <v>1597.087</v>
      </c>
      <c r="M65" s="6">
        <v>1176.961</v>
      </c>
      <c r="N65">
        <v>18.616</v>
      </c>
      <c r="O65" s="2">
        <v>47.523586999999999</v>
      </c>
      <c r="P65" s="2"/>
      <c r="Q65" s="2">
        <v>6.3560689999999997</v>
      </c>
      <c r="R65" s="2">
        <v>2.1012420000000001</v>
      </c>
      <c r="S65" s="2">
        <v>-4.1878200000000003</v>
      </c>
      <c r="T65" s="2">
        <v>-3.2721040000000001</v>
      </c>
      <c r="U65" s="2">
        <v>3.15258E-2</v>
      </c>
      <c r="V65" s="2">
        <v>48.492957999999994</v>
      </c>
      <c r="W65" s="2">
        <v>-0.184756</v>
      </c>
      <c r="X65" s="2">
        <v>47.748079199999999</v>
      </c>
      <c r="Y65" s="2">
        <v>-0.22210159999999901</v>
      </c>
      <c r="Z65" s="2">
        <v>62.100542499999996</v>
      </c>
      <c r="AA65" s="2">
        <v>-0.16407269999999999</v>
      </c>
      <c r="AB65" s="2">
        <v>52.275132299999996</v>
      </c>
      <c r="AC65" s="2">
        <v>-6.6616800000000004E-2</v>
      </c>
      <c r="AD65" s="2">
        <v>55.818188399999997</v>
      </c>
      <c r="AE65" s="2">
        <v>0.17215759999999999</v>
      </c>
      <c r="AF65" s="2">
        <v>59.862425899999998</v>
      </c>
      <c r="AG65" t="s">
        <v>83</v>
      </c>
      <c r="AH65" t="s">
        <v>83</v>
      </c>
      <c r="AI65">
        <v>17</v>
      </c>
      <c r="AJ65" t="s">
        <v>151</v>
      </c>
      <c r="AK65">
        <v>13</v>
      </c>
      <c r="AN65">
        <v>10.513999999999999</v>
      </c>
      <c r="AO65">
        <v>1</v>
      </c>
    </row>
    <row r="66" spans="1:41" x14ac:dyDescent="0.2">
      <c r="A66" t="s">
        <v>56</v>
      </c>
      <c r="B66" t="s">
        <v>75</v>
      </c>
      <c r="C66" s="4" t="s">
        <v>202</v>
      </c>
      <c r="D66" s="4" t="s">
        <v>102</v>
      </c>
      <c r="E66" s="2">
        <v>1</v>
      </c>
      <c r="F66" s="6">
        <v>1</v>
      </c>
      <c r="G66" s="3">
        <v>41115</v>
      </c>
      <c r="H66" s="3">
        <v>44767</v>
      </c>
      <c r="I66" t="s">
        <v>96</v>
      </c>
      <c r="J66">
        <v>10</v>
      </c>
      <c r="K66" s="2">
        <v>5.875</v>
      </c>
      <c r="L66" s="6">
        <v>605.25800000000004</v>
      </c>
      <c r="M66" s="6"/>
      <c r="N66">
        <v>9.8699999999999992</v>
      </c>
      <c r="O66" s="2">
        <v>69.428037000000003</v>
      </c>
      <c r="P66" s="2">
        <v>3.4607960155479547</v>
      </c>
      <c r="Q66" s="2">
        <v>8.6694859999999991</v>
      </c>
      <c r="R66" s="2">
        <v>4.8672570000000004</v>
      </c>
      <c r="S66" s="2">
        <v>-6.8136330000000003</v>
      </c>
      <c r="T66" s="2">
        <v>-6.0094329999999996</v>
      </c>
      <c r="U66" s="2">
        <v>-0.24807689999999999</v>
      </c>
      <c r="V66" s="2">
        <v>42.833370299999999</v>
      </c>
      <c r="W66" s="2">
        <v>-0.1636119</v>
      </c>
      <c r="X66" s="2">
        <v>48.159205499999999</v>
      </c>
      <c r="Y66" s="2">
        <v>-0.76742569999999999</v>
      </c>
      <c r="Z66" s="2">
        <v>52.785534200000001</v>
      </c>
      <c r="AA66" s="2">
        <v>2.10493E-2</v>
      </c>
      <c r="AB66" s="2">
        <v>55.194769199999996</v>
      </c>
      <c r="AC66" s="2">
        <v>-0.2864777</v>
      </c>
      <c r="AD66" s="2">
        <v>52.034227699999995</v>
      </c>
      <c r="AE66" s="2">
        <v>-0.68571749999999998</v>
      </c>
      <c r="AF66" s="2">
        <v>44.847476399999998</v>
      </c>
      <c r="AG66" t="s">
        <v>82</v>
      </c>
      <c r="AH66" t="s">
        <v>85</v>
      </c>
      <c r="AI66">
        <v>14</v>
      </c>
      <c r="AJ66" t="s">
        <v>148</v>
      </c>
      <c r="AK66">
        <v>14</v>
      </c>
      <c r="AL66" t="s">
        <v>80</v>
      </c>
      <c r="AM66">
        <v>13</v>
      </c>
      <c r="AN66">
        <v>1.6E-2</v>
      </c>
      <c r="AO66">
        <v>0</v>
      </c>
    </row>
    <row r="67" spans="1:41" x14ac:dyDescent="0.2">
      <c r="A67" t="s">
        <v>46</v>
      </c>
      <c r="B67" t="s">
        <v>74</v>
      </c>
      <c r="C67" s="4" t="s">
        <v>202</v>
      </c>
      <c r="D67" s="4" t="s">
        <v>102</v>
      </c>
      <c r="E67" s="2">
        <v>314.55</v>
      </c>
      <c r="F67" s="6">
        <v>314.55</v>
      </c>
      <c r="G67" s="3">
        <v>45266</v>
      </c>
      <c r="H67" s="3">
        <v>55153</v>
      </c>
      <c r="I67" t="s">
        <v>96</v>
      </c>
      <c r="J67">
        <v>27</v>
      </c>
      <c r="K67" s="2">
        <v>9</v>
      </c>
      <c r="L67" s="6">
        <v>102.752</v>
      </c>
      <c r="M67" s="6">
        <v>131.845</v>
      </c>
      <c r="N67">
        <v>5.2569999999999997</v>
      </c>
      <c r="O67" s="2">
        <v>111.681746</v>
      </c>
      <c r="P67" s="2">
        <v>5.3862284599744816</v>
      </c>
      <c r="Q67" s="2">
        <v>2.4062220000000001</v>
      </c>
      <c r="R67" s="2">
        <v>54.579597</v>
      </c>
      <c r="S67" s="2">
        <v>1.349194</v>
      </c>
      <c r="T67" s="2">
        <v>-2.5680990000000001</v>
      </c>
      <c r="U67" s="2">
        <v>-0.30894309999999903</v>
      </c>
      <c r="V67" s="2">
        <v>41.601344999999995</v>
      </c>
      <c r="W67" s="2">
        <v>-0.37114259999999999</v>
      </c>
      <c r="X67" s="2">
        <v>44.123974399999994</v>
      </c>
      <c r="Y67" s="2">
        <v>0.2466594</v>
      </c>
      <c r="Z67" s="2">
        <v>70.107730599999996</v>
      </c>
      <c r="AA67" s="2">
        <v>-0.71835949999999904</v>
      </c>
      <c r="AB67" s="2">
        <v>43.533242000000001</v>
      </c>
      <c r="AC67" s="2">
        <v>-0.21963389999999999</v>
      </c>
      <c r="AD67" s="2">
        <v>53.184656499999996</v>
      </c>
      <c r="AE67" s="2">
        <v>0.1083446</v>
      </c>
      <c r="AF67" s="2">
        <v>58.745539600000001</v>
      </c>
      <c r="AG67" t="s">
        <v>82</v>
      </c>
      <c r="AH67" t="s">
        <v>83</v>
      </c>
      <c r="AI67">
        <v>17</v>
      </c>
      <c r="AJ67" t="s">
        <v>158</v>
      </c>
      <c r="AK67">
        <v>19</v>
      </c>
      <c r="AL67" t="s">
        <v>162</v>
      </c>
      <c r="AM67">
        <v>18</v>
      </c>
      <c r="AN67">
        <v>0.56699999999999995</v>
      </c>
      <c r="AO67">
        <v>0</v>
      </c>
    </row>
    <row r="68" spans="1:41" x14ac:dyDescent="0.2">
      <c r="A68" t="s">
        <v>29</v>
      </c>
      <c r="B68" t="s">
        <v>74</v>
      </c>
      <c r="C68" s="4" t="s">
        <v>202</v>
      </c>
      <c r="D68" s="4" t="s">
        <v>107</v>
      </c>
      <c r="E68" s="2">
        <v>104.34</v>
      </c>
      <c r="F68" s="6">
        <v>16.561904761904763</v>
      </c>
      <c r="G68" s="3">
        <v>36704</v>
      </c>
      <c r="H68" s="3">
        <v>47661</v>
      </c>
      <c r="I68" t="s">
        <v>96</v>
      </c>
      <c r="J68">
        <v>30</v>
      </c>
      <c r="K68" s="2">
        <v>3.75</v>
      </c>
      <c r="L68" s="6">
        <v>55.420999999999999</v>
      </c>
      <c r="M68" s="6"/>
      <c r="O68" s="2">
        <v>55.173357000000003</v>
      </c>
      <c r="P68" s="2">
        <v>3.3254832138269657</v>
      </c>
      <c r="Q68" s="2">
        <v>8.0248179999999998</v>
      </c>
      <c r="R68" s="2">
        <v>3.5230350000000001</v>
      </c>
      <c r="S68" s="2">
        <v>0.44179800000000002</v>
      </c>
      <c r="T68" s="2">
        <v>-0.90281100000000003</v>
      </c>
      <c r="U68" s="2">
        <v>0.54092269999999998</v>
      </c>
      <c r="V68" s="2">
        <v>58.803933000000001</v>
      </c>
      <c r="W68" s="2">
        <v>0.42898734999999999</v>
      </c>
      <c r="X68" s="2">
        <v>59.681717149999997</v>
      </c>
      <c r="Y68" s="2">
        <v>0.10209209999999999</v>
      </c>
      <c r="Z68" s="2">
        <v>67.638289700000001</v>
      </c>
      <c r="AA68" s="2">
        <v>0.55091650000000003</v>
      </c>
      <c r="AB68" s="2">
        <v>63.551527749999998</v>
      </c>
      <c r="AC68" s="2">
        <v>0.57287694999999994</v>
      </c>
      <c r="AD68" s="2">
        <v>66.824325599999995</v>
      </c>
      <c r="AE68" s="2">
        <v>0.52447749999999993</v>
      </c>
      <c r="AF68" s="2">
        <v>66.028901099999999</v>
      </c>
      <c r="AG68" t="s">
        <v>82</v>
      </c>
      <c r="AH68" t="s">
        <v>92</v>
      </c>
      <c r="AI68">
        <v>10</v>
      </c>
      <c r="AJ68" t="s">
        <v>154</v>
      </c>
      <c r="AK68">
        <v>10</v>
      </c>
      <c r="AO68">
        <v>0</v>
      </c>
    </row>
    <row r="69" spans="1:41" x14ac:dyDescent="0.2">
      <c r="A69" t="s">
        <v>159</v>
      </c>
      <c r="B69" t="s">
        <v>75</v>
      </c>
      <c r="C69" s="4" t="s">
        <v>202</v>
      </c>
      <c r="D69" s="4" t="s">
        <v>102</v>
      </c>
      <c r="E69" s="2">
        <v>2.75</v>
      </c>
      <c r="F69" s="6">
        <v>2.75</v>
      </c>
      <c r="G69" s="3">
        <v>38031</v>
      </c>
      <c r="H69" s="3">
        <v>49751</v>
      </c>
      <c r="I69" t="s">
        <v>96</v>
      </c>
      <c r="J69">
        <v>32</v>
      </c>
      <c r="K69" s="2">
        <v>6.875</v>
      </c>
      <c r="L69" s="6">
        <v>253.548</v>
      </c>
      <c r="M69" s="6">
        <v>292.22399999999999</v>
      </c>
      <c r="N69">
        <v>7.093</v>
      </c>
      <c r="O69" s="2">
        <v>63.612400000000001</v>
      </c>
      <c r="P69" s="2">
        <v>5.2455929676275934</v>
      </c>
      <c r="Q69" s="2">
        <v>5.7990930000000001</v>
      </c>
      <c r="R69" s="2">
        <v>18.403207999999999</v>
      </c>
      <c r="S69" s="2">
        <v>-2.380395</v>
      </c>
      <c r="T69" s="2">
        <v>-7.5526939999999998</v>
      </c>
      <c r="U69" s="2">
        <v>-0.16382569999999999</v>
      </c>
      <c r="V69" s="2">
        <v>44.5387439</v>
      </c>
      <c r="W69" s="2">
        <v>-0.12208719999999899</v>
      </c>
      <c r="X69" s="2">
        <v>48.966612599999998</v>
      </c>
      <c r="Y69" s="2">
        <v>-0.62446760000000001</v>
      </c>
      <c r="Z69" s="2">
        <v>55.2274873</v>
      </c>
      <c r="AA69" s="2">
        <v>8.5150900000000002E-2</v>
      </c>
      <c r="AB69" s="2">
        <v>56.205742499999999</v>
      </c>
      <c r="AC69" s="2">
        <v>-1.24827999999999E-2</v>
      </c>
      <c r="AD69" s="2">
        <v>56.749872599999996</v>
      </c>
      <c r="AE69" s="2">
        <v>-6.7930599999999994E-2</v>
      </c>
      <c r="AF69" s="2">
        <v>55.660284799999999</v>
      </c>
      <c r="AG69" t="s">
        <v>80</v>
      </c>
      <c r="AH69" t="s">
        <v>85</v>
      </c>
      <c r="AI69">
        <v>14</v>
      </c>
      <c r="AJ69" t="s">
        <v>148</v>
      </c>
      <c r="AK69">
        <v>14</v>
      </c>
      <c r="AL69" t="s">
        <v>85</v>
      </c>
      <c r="AM69">
        <v>14</v>
      </c>
      <c r="AN69">
        <v>8.2609999999999992</v>
      </c>
      <c r="AO69">
        <v>0</v>
      </c>
    </row>
    <row r="70" spans="1:41" x14ac:dyDescent="0.2">
      <c r="A70" t="s">
        <v>15</v>
      </c>
      <c r="B70" t="s">
        <v>72</v>
      </c>
      <c r="C70" s="4" t="s">
        <v>202</v>
      </c>
      <c r="D70" s="4" t="s">
        <v>105</v>
      </c>
      <c r="E70" s="2">
        <v>335.57</v>
      </c>
      <c r="F70" s="6">
        <v>9.292427489878767E-2</v>
      </c>
      <c r="G70" s="3">
        <v>42873</v>
      </c>
      <c r="H70" s="3">
        <v>50148</v>
      </c>
      <c r="I70" t="s">
        <v>96</v>
      </c>
      <c r="J70">
        <v>19</v>
      </c>
      <c r="K70" s="2">
        <v>16.25</v>
      </c>
      <c r="L70" s="6"/>
      <c r="M70" s="6"/>
      <c r="O70" s="2">
        <v>31.332940000000001</v>
      </c>
      <c r="P70" s="2">
        <v>5.1786766022405004</v>
      </c>
      <c r="Q70" s="2">
        <v>0.16744800000000001</v>
      </c>
      <c r="R70" s="2">
        <v>5.6487109999999996</v>
      </c>
      <c r="S70" s="2">
        <v>-2.6329419999999999</v>
      </c>
      <c r="T70" s="2">
        <v>-2.6405129999999999</v>
      </c>
      <c r="U70" s="2">
        <v>-0.99469609999999997</v>
      </c>
      <c r="V70" s="2">
        <v>27.720651999999998</v>
      </c>
      <c r="W70" s="2">
        <v>-0.37852599999999997</v>
      </c>
      <c r="X70" s="2">
        <v>43.980411400000001</v>
      </c>
      <c r="Y70" s="2">
        <v>-0.81447429999999998</v>
      </c>
      <c r="Z70" s="2">
        <v>51.981868800000001</v>
      </c>
      <c r="AA70" s="2">
        <v>-0.39400389999999902</v>
      </c>
      <c r="AB70" s="2">
        <v>48.648790599999998</v>
      </c>
      <c r="AC70" s="2">
        <v>-0.63950960000000001</v>
      </c>
      <c r="AD70" s="2">
        <v>45.958300399999999</v>
      </c>
      <c r="AE70" s="2">
        <v>-0.84280619999999995</v>
      </c>
      <c r="AF70" s="2">
        <v>42.098033199999996</v>
      </c>
      <c r="AH70" t="s">
        <v>93</v>
      </c>
      <c r="AI70">
        <v>15</v>
      </c>
      <c r="AJ70" t="s">
        <v>147</v>
      </c>
      <c r="AK70">
        <v>15</v>
      </c>
      <c r="AL70" t="s">
        <v>85</v>
      </c>
      <c r="AM70">
        <v>14</v>
      </c>
      <c r="AO70">
        <v>1</v>
      </c>
    </row>
    <row r="71" spans="1:41" x14ac:dyDescent="0.2">
      <c r="A71" t="s">
        <v>27</v>
      </c>
      <c r="B71" t="s">
        <v>74</v>
      </c>
      <c r="C71" s="4" t="s">
        <v>202</v>
      </c>
      <c r="D71" s="4" t="s">
        <v>102</v>
      </c>
      <c r="E71" s="2">
        <v>510</v>
      </c>
      <c r="F71" s="6">
        <v>510</v>
      </c>
      <c r="G71" s="3">
        <v>35626</v>
      </c>
      <c r="H71" s="3">
        <v>46583</v>
      </c>
      <c r="I71" t="s">
        <v>96</v>
      </c>
      <c r="J71">
        <v>30</v>
      </c>
      <c r="K71" s="2">
        <v>7.875</v>
      </c>
      <c r="L71" s="6">
        <v>28.288</v>
      </c>
      <c r="M71" s="6">
        <v>50.932000000000002</v>
      </c>
      <c r="N71">
        <v>4.4320000000000004</v>
      </c>
      <c r="O71" s="2"/>
      <c r="P71" s="2">
        <v>4.9107758748121224</v>
      </c>
      <c r="Q71" s="2">
        <v>5.5779579999999997</v>
      </c>
      <c r="R71" s="2">
        <v>24.327852</v>
      </c>
      <c r="S71" s="2">
        <v>-1.1399999999999999</v>
      </c>
      <c r="T71" s="2">
        <v>-1.45</v>
      </c>
      <c r="U71" s="2">
        <v>0.99187219999999998</v>
      </c>
      <c r="V71" s="2">
        <v>67.931842899999992</v>
      </c>
      <c r="W71" s="2">
        <v>0.73823260000000002</v>
      </c>
      <c r="X71" s="2">
        <v>65.694687999999999</v>
      </c>
      <c r="Y71" s="2">
        <v>0.63809870000000002</v>
      </c>
      <c r="Z71" s="2">
        <v>76.794140299999995</v>
      </c>
      <c r="AA71" s="2">
        <v>0.39412029999999998</v>
      </c>
      <c r="AB71" s="2">
        <v>61.078628899999998</v>
      </c>
      <c r="AC71" s="2">
        <v>0.54179480000000002</v>
      </c>
      <c r="AD71" s="2">
        <v>66.2893799</v>
      </c>
      <c r="AE71" s="2">
        <v>0.80762809999999996</v>
      </c>
      <c r="AF71" s="2">
        <v>70.984741299999996</v>
      </c>
      <c r="AG71" t="s">
        <v>86</v>
      </c>
      <c r="AH71" t="s">
        <v>113</v>
      </c>
      <c r="AI71">
        <v>8</v>
      </c>
      <c r="AJ71" t="s">
        <v>154</v>
      </c>
      <c r="AK71">
        <v>10</v>
      </c>
      <c r="AL71" t="s">
        <v>92</v>
      </c>
      <c r="AM71">
        <v>10</v>
      </c>
      <c r="AN71">
        <v>4.024</v>
      </c>
      <c r="AO71">
        <v>0</v>
      </c>
    </row>
    <row r="72" spans="1:41" x14ac:dyDescent="0.2">
      <c r="A72" t="s">
        <v>22</v>
      </c>
      <c r="B72" t="s">
        <v>74</v>
      </c>
      <c r="C72" s="4" t="s">
        <v>202</v>
      </c>
      <c r="D72" s="4" t="s">
        <v>102</v>
      </c>
      <c r="E72" s="2"/>
      <c r="F72" s="6"/>
      <c r="G72" s="3">
        <v>33225</v>
      </c>
      <c r="H72" s="10"/>
      <c r="I72" t="s">
        <v>97</v>
      </c>
      <c r="K72" s="2"/>
      <c r="L72" s="6"/>
      <c r="M72" s="6"/>
      <c r="O72" s="2"/>
      <c r="P72" s="2">
        <v>7.8952159214475426</v>
      </c>
      <c r="Q72" s="2">
        <v>-13.919707000000001</v>
      </c>
      <c r="R72" s="2">
        <v>81.005754999999994</v>
      </c>
      <c r="S72" s="2">
        <v>5.4598089999999999</v>
      </c>
      <c r="T72" s="2">
        <v>-0.90746800000000005</v>
      </c>
      <c r="U72" s="2">
        <v>-0.77913379999999999</v>
      </c>
      <c r="V72" s="2">
        <v>32.083963699999998</v>
      </c>
      <c r="W72" s="2">
        <v>-0.72953170000000001</v>
      </c>
      <c r="X72" s="2">
        <v>37.155449499999996</v>
      </c>
      <c r="Y72" s="2">
        <v>-0.55421769999999904</v>
      </c>
      <c r="Z72" s="2">
        <v>56.427467999999998</v>
      </c>
      <c r="AA72" s="2">
        <v>-0.68619390000000002</v>
      </c>
      <c r="AB72" s="2">
        <v>44.040539199999998</v>
      </c>
      <c r="AC72" s="2">
        <v>-0.78665989999999997</v>
      </c>
      <c r="AD72" s="2">
        <v>43.4257402</v>
      </c>
      <c r="AE72" s="2">
        <v>-0.16110679999999999</v>
      </c>
      <c r="AF72" s="2">
        <v>54.029469399999996</v>
      </c>
      <c r="AH72" t="s">
        <v>85</v>
      </c>
      <c r="AI72">
        <v>14</v>
      </c>
      <c r="AJ72" t="s">
        <v>153</v>
      </c>
      <c r="AK72">
        <v>11</v>
      </c>
      <c r="AO72">
        <v>0</v>
      </c>
    </row>
    <row r="73" spans="1:41" x14ac:dyDescent="0.2">
      <c r="A73" t="s">
        <v>22</v>
      </c>
      <c r="B73" t="s">
        <v>74</v>
      </c>
      <c r="C73" s="4" t="s">
        <v>202</v>
      </c>
      <c r="D73" s="4" t="s">
        <v>102</v>
      </c>
      <c r="E73" s="2">
        <v>1.6</v>
      </c>
      <c r="F73" s="6">
        <v>1.6</v>
      </c>
      <c r="G73" s="3">
        <v>38463</v>
      </c>
      <c r="H73" s="3">
        <v>45768</v>
      </c>
      <c r="I73" t="s">
        <v>96</v>
      </c>
      <c r="J73">
        <v>20</v>
      </c>
      <c r="K73">
        <v>7.65</v>
      </c>
      <c r="L73" s="9">
        <v>1148.4269999999999</v>
      </c>
      <c r="M73" s="2">
        <v>322.04899999999998</v>
      </c>
      <c r="N73" s="6">
        <v>15.226000000000001</v>
      </c>
      <c r="O73" s="6">
        <v>41.783026</v>
      </c>
      <c r="P73" s="2">
        <v>10.311537780791948</v>
      </c>
      <c r="Q73" s="2">
        <v>18.286607</v>
      </c>
      <c r="R73" s="2">
        <v>19.184943000000001</v>
      </c>
      <c r="S73" s="2">
        <v>13.824890999999999</v>
      </c>
      <c r="T73" s="2">
        <v>2.470453</v>
      </c>
      <c r="U73" s="2">
        <v>-0.99926889999999902</v>
      </c>
      <c r="V73" s="2">
        <v>27.6280915</v>
      </c>
      <c r="W73" s="2">
        <v>-1.1337191</v>
      </c>
      <c r="X73" s="2">
        <v>29.296421599999999</v>
      </c>
      <c r="Y73" s="2">
        <v>-1.2731843</v>
      </c>
      <c r="Z73" s="2">
        <v>44.146367900000001</v>
      </c>
      <c r="AA73" s="2">
        <v>-1.1051905</v>
      </c>
      <c r="AB73" s="2">
        <v>37.432367599999999</v>
      </c>
      <c r="AC73" s="2">
        <v>-1.2472630999999901</v>
      </c>
      <c r="AD73" s="2">
        <v>35.498435199999996</v>
      </c>
      <c r="AE73" s="2">
        <v>-0.68128099999999903</v>
      </c>
      <c r="AF73" s="2">
        <v>44.925126200000001</v>
      </c>
      <c r="AH73" t="s">
        <v>93</v>
      </c>
      <c r="AI73">
        <v>15</v>
      </c>
      <c r="AJ73" t="s">
        <v>147</v>
      </c>
      <c r="AK73">
        <v>15</v>
      </c>
      <c r="AL73" t="s">
        <v>85</v>
      </c>
      <c r="AM73">
        <v>14</v>
      </c>
      <c r="AN73" s="2">
        <v>40.600999999999999</v>
      </c>
      <c r="AO73">
        <v>0</v>
      </c>
    </row>
    <row r="74" spans="1:41" x14ac:dyDescent="0.2">
      <c r="A74" t="s">
        <v>48</v>
      </c>
      <c r="B74" t="s">
        <v>75</v>
      </c>
      <c r="C74" s="4" t="s">
        <v>202</v>
      </c>
      <c r="D74" s="4" t="s">
        <v>102</v>
      </c>
      <c r="E74" s="2">
        <v>24.55</v>
      </c>
      <c r="F74" s="6">
        <v>24.55</v>
      </c>
      <c r="G74" s="3">
        <v>35866</v>
      </c>
      <c r="H74" s="3">
        <v>46825</v>
      </c>
      <c r="I74" t="s">
        <v>99</v>
      </c>
      <c r="J74">
        <v>30</v>
      </c>
      <c r="K74" s="2">
        <v>5.4950000000000001</v>
      </c>
      <c r="L74" s="6"/>
      <c r="M74" s="6"/>
      <c r="O74" s="2"/>
      <c r="P74" s="2">
        <v>1.6706569315751196</v>
      </c>
      <c r="Q74" s="2">
        <v>8.151688</v>
      </c>
      <c r="R74" s="2">
        <v>-0.16597500000000001</v>
      </c>
      <c r="S74" s="2">
        <v>-4.474945</v>
      </c>
      <c r="T74" s="2"/>
      <c r="U74" s="2">
        <v>-0.74462049999999946</v>
      </c>
      <c r="V74" s="2">
        <v>32.782565900000002</v>
      </c>
      <c r="W74" s="2">
        <v>-0.50964099999999946</v>
      </c>
      <c r="X74" s="2">
        <v>41.4310087</v>
      </c>
      <c r="Y74" s="2">
        <v>0.35265619999999998</v>
      </c>
      <c r="Z74" s="2">
        <v>71.918325549999992</v>
      </c>
      <c r="AA74" s="2">
        <v>-0.79567854999999998</v>
      </c>
      <c r="AB74" s="2">
        <v>42.313810799999999</v>
      </c>
      <c r="AC74" s="2">
        <v>-0.63291884999999959</v>
      </c>
      <c r="AD74" s="2">
        <v>46.071731849999999</v>
      </c>
      <c r="AE74" s="2">
        <v>-1.27456865</v>
      </c>
      <c r="AF74" s="2">
        <v>34.541115599999998</v>
      </c>
      <c r="AG74" t="s">
        <v>82</v>
      </c>
      <c r="AH74" t="s">
        <v>81</v>
      </c>
      <c r="AI74">
        <v>11</v>
      </c>
      <c r="AJ74" t="s">
        <v>148</v>
      </c>
      <c r="AK74">
        <v>14</v>
      </c>
      <c r="AO74">
        <v>0</v>
      </c>
    </row>
    <row r="75" spans="1:41" x14ac:dyDescent="0.2">
      <c r="A75" t="s">
        <v>14</v>
      </c>
      <c r="B75" t="s">
        <v>72</v>
      </c>
      <c r="C75" s="4" t="s">
        <v>202</v>
      </c>
      <c r="D75" s="4" t="s">
        <v>104</v>
      </c>
      <c r="E75" s="2">
        <v>97.74</v>
      </c>
      <c r="F75" s="6">
        <v>9.4801163918525688</v>
      </c>
      <c r="G75" s="3">
        <v>42513</v>
      </c>
      <c r="H75" s="3">
        <v>47991</v>
      </c>
      <c r="I75" t="s">
        <v>96</v>
      </c>
      <c r="J75">
        <v>15</v>
      </c>
      <c r="K75" s="2">
        <v>14</v>
      </c>
      <c r="L75" s="6">
        <v>1180.17</v>
      </c>
      <c r="M75" s="6"/>
      <c r="N75">
        <v>16.484000000000002</v>
      </c>
      <c r="O75" s="2">
        <v>61.868901999999999</v>
      </c>
      <c r="P75" s="2">
        <v>3.8599286525480556</v>
      </c>
      <c r="Q75" s="2">
        <v>2.9199799999999998</v>
      </c>
      <c r="R75" s="2">
        <v>21.111874</v>
      </c>
      <c r="S75" s="2">
        <v>-2.6868300000000001</v>
      </c>
      <c r="T75" s="2">
        <v>-8.8775619999999993</v>
      </c>
      <c r="U75" s="2">
        <v>-0.39517589999999903</v>
      </c>
      <c r="V75" s="2">
        <v>39.855860799999995</v>
      </c>
      <c r="W75" s="2">
        <v>-0.52971299999999999</v>
      </c>
      <c r="X75" s="2">
        <v>41.040728299999998</v>
      </c>
      <c r="Y75" s="2">
        <v>8.2274799999999995E-2</v>
      </c>
      <c r="Z75" s="2">
        <v>67.299778500000002</v>
      </c>
      <c r="AA75" s="2">
        <v>-0.38227420000000001</v>
      </c>
      <c r="AB75" s="2">
        <v>48.833784699999995</v>
      </c>
      <c r="AC75" s="2">
        <v>-0.35603180000000001</v>
      </c>
      <c r="AD75" s="2">
        <v>50.837152699999997</v>
      </c>
      <c r="AE75" s="2">
        <v>-0.19354449999999901</v>
      </c>
      <c r="AF75" s="2">
        <v>53.461728899999997</v>
      </c>
      <c r="AH75" t="s">
        <v>93</v>
      </c>
      <c r="AI75">
        <v>15</v>
      </c>
      <c r="AJ75" t="s">
        <v>143</v>
      </c>
      <c r="AK75">
        <v>16</v>
      </c>
      <c r="AL75" t="s">
        <v>93</v>
      </c>
      <c r="AM75">
        <v>15</v>
      </c>
      <c r="AN75">
        <v>4.71</v>
      </c>
      <c r="AO75">
        <v>1</v>
      </c>
    </row>
    <row r="78" spans="1:41" x14ac:dyDescent="0.2">
      <c r="G78" s="3"/>
    </row>
    <row r="79" spans="1:41" x14ac:dyDescent="0.2">
      <c r="G79" s="3"/>
    </row>
  </sheetData>
  <sortState xmlns:xlrd2="http://schemas.microsoft.com/office/spreadsheetml/2017/richdata2" ref="A2:AN75">
    <sortCondition ref="A2:A75"/>
  </sortState>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B101E-70A3-40D6-A0A5-1C6FF94E6EAC}">
  <dimension ref="A1:V15"/>
  <sheetViews>
    <sheetView workbookViewId="0">
      <pane xSplit="2" ySplit="1" topLeftCell="C2" activePane="bottomRight" state="frozen"/>
      <selection pane="topRight" activeCell="C1" sqref="C1"/>
      <selection pane="bottomLeft" activeCell="A2" sqref="A2"/>
      <selection pane="bottomRight" activeCell="J9" sqref="J9"/>
    </sheetView>
  </sheetViews>
  <sheetFormatPr defaultColWidth="11.5546875" defaultRowHeight="15" x14ac:dyDescent="0.2"/>
  <cols>
    <col min="9" max="9" width="15" bestFit="1" customWidth="1"/>
    <col min="10" max="10" width="13.109375" bestFit="1" customWidth="1"/>
    <col min="11" max="11" width="13.44140625" bestFit="1" customWidth="1"/>
    <col min="12" max="12" width="13.5546875" bestFit="1" customWidth="1"/>
    <col min="13" max="13" width="15.77734375" bestFit="1" customWidth="1"/>
    <col min="14" max="14" width="15.88671875" bestFit="1" customWidth="1"/>
    <col min="17" max="17" width="13.21875" bestFit="1" customWidth="1"/>
    <col min="18" max="18" width="13.33203125" bestFit="1" customWidth="1"/>
  </cols>
  <sheetData>
    <row r="1" spans="1:22" s="1" customFormat="1" ht="15.75" x14ac:dyDescent="0.25">
      <c r="A1" s="1" t="s">
        <v>172</v>
      </c>
      <c r="B1" s="1" t="s">
        <v>173</v>
      </c>
      <c r="C1" s="1" t="s">
        <v>115</v>
      </c>
      <c r="D1" s="1" t="s">
        <v>116</v>
      </c>
      <c r="E1" s="1" t="s">
        <v>2</v>
      </c>
      <c r="F1" s="1" t="s">
        <v>3</v>
      </c>
      <c r="G1" s="1" t="s">
        <v>4</v>
      </c>
      <c r="H1" s="1" t="s">
        <v>5</v>
      </c>
      <c r="I1" s="1" t="s">
        <v>6</v>
      </c>
      <c r="J1" s="1" t="s">
        <v>7</v>
      </c>
      <c r="K1" s="1" t="s">
        <v>175</v>
      </c>
      <c r="L1" s="1" t="s">
        <v>176</v>
      </c>
      <c r="M1" s="1" t="s">
        <v>177</v>
      </c>
      <c r="N1" s="1" t="s">
        <v>178</v>
      </c>
      <c r="O1" s="1" t="s">
        <v>179</v>
      </c>
      <c r="P1" s="1" t="s">
        <v>180</v>
      </c>
      <c r="Q1" s="1" t="s">
        <v>181</v>
      </c>
      <c r="R1" s="1" t="s">
        <v>182</v>
      </c>
      <c r="S1" s="1" t="s">
        <v>183</v>
      </c>
      <c r="T1" s="1" t="s">
        <v>184</v>
      </c>
      <c r="U1" s="1" t="s">
        <v>185</v>
      </c>
      <c r="V1" s="1" t="s">
        <v>186</v>
      </c>
    </row>
    <row r="2" spans="1:22" x14ac:dyDescent="0.2">
      <c r="A2">
        <v>2025</v>
      </c>
      <c r="B2" t="s">
        <v>114</v>
      </c>
      <c r="C2" s="6">
        <v>372.13600000000002</v>
      </c>
      <c r="D2" s="6">
        <v>414.05099999999999</v>
      </c>
      <c r="E2">
        <v>20.206</v>
      </c>
      <c r="F2" s="7">
        <v>2.1</v>
      </c>
      <c r="G2">
        <v>5.7460000000000004</v>
      </c>
      <c r="H2">
        <v>2.2650000000000001</v>
      </c>
      <c r="I2">
        <v>-3.738</v>
      </c>
      <c r="J2" s="6">
        <v>-2.7519999999999998</v>
      </c>
      <c r="K2" s="6">
        <v>-1.5081169403201968</v>
      </c>
      <c r="L2" s="6">
        <v>17.328226316133005</v>
      </c>
      <c r="M2" s="6">
        <v>-1.677423063596059</v>
      </c>
      <c r="N2" s="6">
        <v>18.724630907487683</v>
      </c>
      <c r="O2" s="6">
        <v>-1.9502889380408894</v>
      </c>
      <c r="P2" s="6">
        <v>32.580337020524482</v>
      </c>
      <c r="Q2" s="6">
        <v>-1.2407007914285713</v>
      </c>
      <c r="R2" s="6">
        <v>35.295177798448272</v>
      </c>
      <c r="S2" s="6">
        <v>-1.5987187373260707</v>
      </c>
      <c r="T2" s="6">
        <v>29.449636538735696</v>
      </c>
      <c r="U2" s="6">
        <v>-1.1993318655020462</v>
      </c>
      <c r="V2" s="6">
        <v>35.857946595749169</v>
      </c>
    </row>
    <row r="3" spans="1:22" x14ac:dyDescent="0.2">
      <c r="A3">
        <v>2026</v>
      </c>
      <c r="B3" t="str">
        <f t="shared" ref="B3:B7" si="0">B2</f>
        <v>A</v>
      </c>
      <c r="C3" s="6"/>
      <c r="E3">
        <v>24.613</v>
      </c>
      <c r="F3" s="7">
        <v>2.4</v>
      </c>
      <c r="G3">
        <v>5.9009999999999998</v>
      </c>
      <c r="H3">
        <v>6.73</v>
      </c>
      <c r="I3">
        <v>-1.9770000000000001</v>
      </c>
      <c r="J3" s="6">
        <v>-3.4550000000000001</v>
      </c>
      <c r="K3" s="6">
        <v>-1.5008942806403938</v>
      </c>
      <c r="L3" s="6">
        <v>17.474424032266008</v>
      </c>
      <c r="M3" s="6">
        <v>-1.6614012271921179</v>
      </c>
      <c r="N3" s="6">
        <v>19.036159814975367</v>
      </c>
      <c r="O3" s="6">
        <v>-1.9247181654050733</v>
      </c>
      <c r="P3" s="6">
        <v>33.017126739148537</v>
      </c>
      <c r="Q3" s="6">
        <v>-1.1965557828571425</v>
      </c>
      <c r="R3" s="6">
        <v>35.991407296896547</v>
      </c>
      <c r="S3" s="6">
        <v>-1.583236587685851</v>
      </c>
      <c r="T3" s="6">
        <v>29.716095222587551</v>
      </c>
      <c r="U3" s="6">
        <v>-1.1852774188089885</v>
      </c>
      <c r="V3" s="6">
        <v>36.10393439061729</v>
      </c>
    </row>
    <row r="4" spans="1:22" x14ac:dyDescent="0.2">
      <c r="A4">
        <v>2027</v>
      </c>
      <c r="B4" t="str">
        <f t="shared" si="0"/>
        <v>A</v>
      </c>
      <c r="C4" s="6"/>
      <c r="E4">
        <v>27.824000000000002</v>
      </c>
      <c r="F4" s="7">
        <v>2.7</v>
      </c>
      <c r="G4">
        <v>5.3650000000000002</v>
      </c>
      <c r="H4">
        <v>7.0060000000000002</v>
      </c>
      <c r="I4">
        <v>-1.6060000000000001</v>
      </c>
      <c r="J4" s="6">
        <v>-2.3879999999999999</v>
      </c>
      <c r="K4" s="6">
        <v>-1.4936716209605907</v>
      </c>
      <c r="L4" s="6">
        <v>17.620621748399014</v>
      </c>
      <c r="M4" s="6">
        <v>-1.6453793907881771</v>
      </c>
      <c r="N4" s="6">
        <v>19.347688722463054</v>
      </c>
      <c r="O4" s="6">
        <v>-1.8991473927692566</v>
      </c>
      <c r="P4" s="6">
        <v>33.453916457772593</v>
      </c>
      <c r="Q4" s="6">
        <v>-1.1524107742857139</v>
      </c>
      <c r="R4" s="6">
        <v>36.687636795344822</v>
      </c>
      <c r="S4" s="6">
        <v>-1.5677544380456314</v>
      </c>
      <c r="T4" s="6">
        <v>29.982553906439406</v>
      </c>
      <c r="U4" s="6">
        <v>-1.1712229721159308</v>
      </c>
      <c r="V4" s="6">
        <v>36.349922185485404</v>
      </c>
    </row>
    <row r="5" spans="1:22" x14ac:dyDescent="0.2">
      <c r="A5">
        <v>2028</v>
      </c>
      <c r="B5" t="str">
        <f t="shared" si="0"/>
        <v>A</v>
      </c>
      <c r="C5" s="6"/>
      <c r="E5">
        <v>29.498999999999999</v>
      </c>
      <c r="F5" s="7">
        <v>2.8</v>
      </c>
      <c r="G5">
        <v>5.3970000000000002</v>
      </c>
      <c r="H5">
        <v>6.952</v>
      </c>
      <c r="I5">
        <v>-1.365</v>
      </c>
      <c r="J5" s="6">
        <v>-1.4970000000000001</v>
      </c>
      <c r="K5" s="6">
        <v>-1.4864489612807876</v>
      </c>
      <c r="L5" s="6">
        <v>17.76681946453202</v>
      </c>
      <c r="M5" s="6">
        <v>-1.629357554384236</v>
      </c>
      <c r="N5" s="6">
        <v>19.659217629950739</v>
      </c>
      <c r="O5" s="6">
        <v>-1.8735766201334405</v>
      </c>
      <c r="P5" s="6">
        <v>33.890706176396648</v>
      </c>
      <c r="Q5" s="6">
        <v>-1.1082657657142851</v>
      </c>
      <c r="R5" s="6">
        <v>37.383866293793091</v>
      </c>
      <c r="S5" s="6">
        <v>-1.5522722884054119</v>
      </c>
      <c r="T5" s="6">
        <v>30.249012590291265</v>
      </c>
      <c r="U5" s="6">
        <v>-1.1571685254228732</v>
      </c>
      <c r="V5" s="6">
        <v>36.595909980353525</v>
      </c>
    </row>
    <row r="6" spans="1:22" x14ac:dyDescent="0.2">
      <c r="A6">
        <v>2029</v>
      </c>
      <c r="B6" t="str">
        <f t="shared" si="0"/>
        <v>A</v>
      </c>
      <c r="C6" s="6"/>
      <c r="E6">
        <v>31.234000000000002</v>
      </c>
      <c r="F6" s="7">
        <v>2.9</v>
      </c>
      <c r="G6">
        <v>5.444</v>
      </c>
      <c r="H6">
        <v>6.952</v>
      </c>
      <c r="I6">
        <v>-1.194</v>
      </c>
      <c r="J6" s="6">
        <v>-1.4570000000000001</v>
      </c>
      <c r="K6" s="6">
        <v>-1.4792263016009846</v>
      </c>
      <c r="L6" s="6">
        <v>17.913017180665022</v>
      </c>
      <c r="M6" s="6">
        <v>-1.613335717980295</v>
      </c>
      <c r="N6" s="6">
        <v>19.970746537438423</v>
      </c>
      <c r="O6" s="6">
        <v>-1.8480058474976235</v>
      </c>
      <c r="P6" s="6">
        <v>34.327495895020704</v>
      </c>
      <c r="Q6" s="6">
        <v>-1.0641207571428564</v>
      </c>
      <c r="R6" s="6">
        <v>38.080095792241366</v>
      </c>
      <c r="S6" s="6">
        <v>-1.5367901387651921</v>
      </c>
      <c r="T6" s="6">
        <v>30.51547127414312</v>
      </c>
      <c r="U6" s="6">
        <v>-1.1431140787298155</v>
      </c>
      <c r="V6" s="6">
        <v>36.841897775221639</v>
      </c>
    </row>
    <row r="7" spans="1:22" x14ac:dyDescent="0.2">
      <c r="A7">
        <v>2030</v>
      </c>
      <c r="B7" t="str">
        <f t="shared" si="0"/>
        <v>A</v>
      </c>
      <c r="C7" s="6"/>
      <c r="E7">
        <v>32.743000000000002</v>
      </c>
      <c r="F7" s="7">
        <v>3</v>
      </c>
      <c r="G7">
        <v>5.415</v>
      </c>
      <c r="H7">
        <v>6.952</v>
      </c>
      <c r="I7">
        <v>-1.262</v>
      </c>
      <c r="J7" s="6">
        <v>-1.2729999999999999</v>
      </c>
      <c r="K7" s="6">
        <v>-1.4720036419211815</v>
      </c>
      <c r="L7" s="6">
        <v>18.059214896798029</v>
      </c>
      <c r="M7" s="6">
        <v>-1.5973138815763539</v>
      </c>
      <c r="N7" s="6">
        <v>20.282275444926107</v>
      </c>
      <c r="O7" s="6">
        <v>-1.8224350748618077</v>
      </c>
      <c r="P7" s="6">
        <v>34.764285613644759</v>
      </c>
      <c r="Q7" s="6">
        <v>-1.0199757485714276</v>
      </c>
      <c r="R7" s="6">
        <v>38.776325290689641</v>
      </c>
      <c r="S7" s="6">
        <v>-1.5213079891249726</v>
      </c>
      <c r="T7" s="6">
        <v>30.781929957994976</v>
      </c>
      <c r="U7" s="6">
        <v>-1.1290596320367579</v>
      </c>
      <c r="V7" s="6">
        <v>37.08788557008976</v>
      </c>
    </row>
    <row r="8" spans="1:22" x14ac:dyDescent="0.2">
      <c r="A8">
        <v>2031</v>
      </c>
      <c r="B8" t="str">
        <f t="shared" ref="B8" si="1">B7</f>
        <v>A</v>
      </c>
      <c r="C8" s="6"/>
      <c r="E8">
        <v>33.496000000000002</v>
      </c>
      <c r="F8" s="7">
        <v>3</v>
      </c>
      <c r="G8">
        <v>5.4009999999999998</v>
      </c>
      <c r="H8">
        <v>6.952</v>
      </c>
      <c r="I8">
        <v>-1.67</v>
      </c>
      <c r="J8" s="6">
        <v>-1.151</v>
      </c>
      <c r="K8" s="6">
        <v>-1.4647809822413786</v>
      </c>
      <c r="L8" s="6">
        <v>18.205412612931035</v>
      </c>
      <c r="M8" s="6">
        <v>-1.5812920451724128</v>
      </c>
      <c r="N8" s="6">
        <v>20.593804352413791</v>
      </c>
      <c r="O8" s="6">
        <v>-1.7968643022259907</v>
      </c>
      <c r="P8" s="6">
        <v>35.201075332268815</v>
      </c>
      <c r="Q8" s="6">
        <v>-0.97583073999999881</v>
      </c>
      <c r="R8" s="6">
        <v>39.472554789137916</v>
      </c>
      <c r="S8" s="6">
        <v>-1.505825839484753</v>
      </c>
      <c r="T8" s="6">
        <v>31.048388641846831</v>
      </c>
      <c r="U8" s="6">
        <v>-1.1150051853437002</v>
      </c>
      <c r="V8" s="6">
        <v>37.333873364957874</v>
      </c>
    </row>
    <row r="9" spans="1:22" x14ac:dyDescent="0.2">
      <c r="A9">
        <v>2025</v>
      </c>
      <c r="B9" t="s">
        <v>93</v>
      </c>
      <c r="C9" s="6">
        <v>426.96600000000001</v>
      </c>
      <c r="D9" s="6">
        <v>487.52800000000002</v>
      </c>
      <c r="E9">
        <v>20.206</v>
      </c>
      <c r="F9" s="7">
        <v>2.1</v>
      </c>
      <c r="G9">
        <v>5.7460000000000004</v>
      </c>
      <c r="H9">
        <v>2.2650000000000001</v>
      </c>
      <c r="I9">
        <v>-3.738</v>
      </c>
      <c r="J9" s="6">
        <v>-2.7519999999999998</v>
      </c>
      <c r="K9" s="6">
        <v>-1.5081169403201968</v>
      </c>
      <c r="L9" s="6">
        <v>17.328226316133005</v>
      </c>
      <c r="M9" s="6">
        <v>-1.677423063596059</v>
      </c>
      <c r="N9" s="6">
        <v>18.724630907487683</v>
      </c>
      <c r="O9" s="6">
        <v>-1.9502889380408894</v>
      </c>
      <c r="P9" s="6">
        <v>32.580337020524482</v>
      </c>
      <c r="Q9" s="6">
        <v>-1.2407007914285713</v>
      </c>
      <c r="R9" s="6">
        <v>35.295177798448272</v>
      </c>
      <c r="S9" s="6">
        <v>-1.5987187373260707</v>
      </c>
      <c r="T9" s="6">
        <v>29.449636538735696</v>
      </c>
      <c r="U9" s="6">
        <v>-1.1993318655020462</v>
      </c>
      <c r="V9" s="6">
        <v>35.857946595749169</v>
      </c>
    </row>
    <row r="10" spans="1:22" x14ac:dyDescent="0.2">
      <c r="A10">
        <v>2026</v>
      </c>
      <c r="B10" t="str">
        <f t="shared" ref="B10:B14" si="2">B9</f>
        <v>B</v>
      </c>
      <c r="E10">
        <v>24.613</v>
      </c>
      <c r="F10" s="7">
        <v>2.4</v>
      </c>
      <c r="G10">
        <v>5.9009999999999998</v>
      </c>
      <c r="H10">
        <v>6.73</v>
      </c>
      <c r="I10">
        <v>-1.9770000000000001</v>
      </c>
      <c r="J10" s="6">
        <v>-3.4550000000000001</v>
      </c>
      <c r="K10" s="6">
        <v>-1.5008942806403938</v>
      </c>
      <c r="L10" s="6">
        <v>17.474424032266008</v>
      </c>
      <c r="M10" s="6">
        <v>-1.6614012271921179</v>
      </c>
      <c r="N10" s="6">
        <v>19.036159814975367</v>
      </c>
      <c r="O10" s="6">
        <v>-1.9247181654050733</v>
      </c>
      <c r="P10" s="6">
        <v>33.017126739148537</v>
      </c>
      <c r="Q10" s="6">
        <v>-1.1965557828571425</v>
      </c>
      <c r="R10" s="6">
        <v>35.991407296896547</v>
      </c>
      <c r="S10" s="6">
        <v>-1.583236587685851</v>
      </c>
      <c r="T10" s="6">
        <v>29.716095222587551</v>
      </c>
      <c r="U10" s="6">
        <v>-1.1852774188089885</v>
      </c>
      <c r="V10" s="6">
        <v>36.10393439061729</v>
      </c>
    </row>
    <row r="11" spans="1:22" x14ac:dyDescent="0.2">
      <c r="A11">
        <v>2027</v>
      </c>
      <c r="B11" t="str">
        <f t="shared" si="2"/>
        <v>B</v>
      </c>
      <c r="E11">
        <v>27.824000000000002</v>
      </c>
      <c r="F11" s="7">
        <v>2.7</v>
      </c>
      <c r="G11">
        <v>5.3650000000000002</v>
      </c>
      <c r="H11">
        <v>7.0060000000000002</v>
      </c>
      <c r="I11">
        <v>-1.6060000000000001</v>
      </c>
      <c r="J11" s="6">
        <v>-2.3879999999999999</v>
      </c>
      <c r="K11" s="6">
        <v>-1.4936716209605907</v>
      </c>
      <c r="L11" s="6">
        <v>17.620621748399014</v>
      </c>
      <c r="M11" s="6">
        <v>-1.6453793907881771</v>
      </c>
      <c r="N11" s="6">
        <v>19.347688722463054</v>
      </c>
      <c r="O11" s="6">
        <v>-1.8991473927692566</v>
      </c>
      <c r="P11" s="6">
        <v>33.453916457772593</v>
      </c>
      <c r="Q11" s="6">
        <v>-1.1524107742857139</v>
      </c>
      <c r="R11" s="6">
        <v>36.687636795344822</v>
      </c>
      <c r="S11" s="6">
        <v>-1.5677544380456314</v>
      </c>
      <c r="T11" s="6">
        <v>29.982553906439406</v>
      </c>
      <c r="U11" s="6">
        <v>-1.1712229721159308</v>
      </c>
      <c r="V11" s="6">
        <v>36.349922185485404</v>
      </c>
    </row>
    <row r="12" spans="1:22" x14ac:dyDescent="0.2">
      <c r="A12">
        <v>2028</v>
      </c>
      <c r="B12" t="str">
        <f t="shared" si="2"/>
        <v>B</v>
      </c>
      <c r="E12">
        <v>29.498999999999999</v>
      </c>
      <c r="F12" s="7">
        <v>2.8</v>
      </c>
      <c r="G12">
        <v>5.3970000000000002</v>
      </c>
      <c r="H12">
        <v>6.952</v>
      </c>
      <c r="I12">
        <v>-1.365</v>
      </c>
      <c r="J12" s="6">
        <v>-1.4970000000000001</v>
      </c>
      <c r="K12" s="6">
        <v>-1.4864489612807876</v>
      </c>
      <c r="L12" s="6">
        <v>17.76681946453202</v>
      </c>
      <c r="M12" s="6">
        <v>-1.629357554384236</v>
      </c>
      <c r="N12" s="6">
        <v>19.659217629950739</v>
      </c>
      <c r="O12" s="6">
        <v>-1.8735766201334405</v>
      </c>
      <c r="P12" s="6">
        <v>33.890706176396648</v>
      </c>
      <c r="Q12" s="6">
        <v>-1.1082657657142851</v>
      </c>
      <c r="R12" s="6">
        <v>37.383866293793091</v>
      </c>
      <c r="S12" s="6">
        <v>-1.5522722884054119</v>
      </c>
      <c r="T12" s="6">
        <v>30.249012590291265</v>
      </c>
      <c r="U12" s="6">
        <v>-1.1571685254228732</v>
      </c>
      <c r="V12" s="6">
        <v>36.595909980353525</v>
      </c>
    </row>
    <row r="13" spans="1:22" x14ac:dyDescent="0.2">
      <c r="A13">
        <v>2029</v>
      </c>
      <c r="B13" t="str">
        <f t="shared" si="2"/>
        <v>B</v>
      </c>
      <c r="E13">
        <v>31.234000000000002</v>
      </c>
      <c r="F13" s="7">
        <v>2.9</v>
      </c>
      <c r="G13">
        <v>5.444</v>
      </c>
      <c r="H13">
        <v>6.952</v>
      </c>
      <c r="I13">
        <v>-1.194</v>
      </c>
      <c r="J13" s="6">
        <v>-1.4570000000000001</v>
      </c>
      <c r="K13" s="6">
        <v>-1.4792263016009846</v>
      </c>
      <c r="L13" s="6">
        <v>17.913017180665022</v>
      </c>
      <c r="M13" s="6">
        <v>-1.613335717980295</v>
      </c>
      <c r="N13" s="6">
        <v>19.970746537438423</v>
      </c>
      <c r="O13" s="6">
        <v>-1.8480058474976235</v>
      </c>
      <c r="P13" s="6">
        <v>34.327495895020704</v>
      </c>
      <c r="Q13" s="6">
        <v>-1.0641207571428564</v>
      </c>
      <c r="R13" s="6">
        <v>38.080095792241366</v>
      </c>
      <c r="S13" s="6">
        <v>-1.5367901387651921</v>
      </c>
      <c r="T13" s="6">
        <v>30.51547127414312</v>
      </c>
      <c r="U13" s="6">
        <v>-1.1431140787298155</v>
      </c>
      <c r="V13" s="6">
        <v>36.841897775221639</v>
      </c>
    </row>
    <row r="14" spans="1:22" x14ac:dyDescent="0.2">
      <c r="A14">
        <v>2030</v>
      </c>
      <c r="B14" t="str">
        <f t="shared" si="2"/>
        <v>B</v>
      </c>
      <c r="E14">
        <v>32.743000000000002</v>
      </c>
      <c r="F14" s="7">
        <v>3</v>
      </c>
      <c r="G14">
        <v>5.415</v>
      </c>
      <c r="H14">
        <v>6.952</v>
      </c>
      <c r="I14">
        <v>-1.262</v>
      </c>
      <c r="J14" s="6">
        <v>-1.2729999999999999</v>
      </c>
      <c r="K14" s="6">
        <v>-1.4720036419211815</v>
      </c>
      <c r="L14" s="6">
        <v>18.059214896798029</v>
      </c>
      <c r="M14" s="6">
        <v>-1.5973138815763539</v>
      </c>
      <c r="N14" s="6">
        <v>20.282275444926107</v>
      </c>
      <c r="O14" s="6">
        <v>-1.8224350748618077</v>
      </c>
      <c r="P14" s="6">
        <v>34.764285613644759</v>
      </c>
      <c r="Q14" s="6">
        <v>-1.0199757485714276</v>
      </c>
      <c r="R14" s="6">
        <v>38.776325290689641</v>
      </c>
      <c r="S14" s="6">
        <v>-1.5213079891249726</v>
      </c>
      <c r="T14" s="6">
        <v>30.781929957994976</v>
      </c>
      <c r="U14" s="6">
        <v>-1.1290596320367579</v>
      </c>
      <c r="V14" s="6">
        <v>37.08788557008976</v>
      </c>
    </row>
    <row r="15" spans="1:22" x14ac:dyDescent="0.2">
      <c r="A15">
        <v>2031</v>
      </c>
      <c r="B15" t="str">
        <f t="shared" ref="B15" si="3">B14</f>
        <v>B</v>
      </c>
      <c r="E15">
        <v>33.496000000000002</v>
      </c>
      <c r="F15" s="7">
        <v>3</v>
      </c>
      <c r="G15">
        <v>5.4009999999999998</v>
      </c>
      <c r="H15">
        <v>6.952</v>
      </c>
      <c r="I15">
        <v>-1.67</v>
      </c>
      <c r="J15" s="6">
        <v>-1.151</v>
      </c>
      <c r="K15" s="6">
        <v>-1.4647809822413786</v>
      </c>
      <c r="L15" s="6">
        <v>18.205412612931035</v>
      </c>
      <c r="M15" s="6">
        <v>-1.5812920451724128</v>
      </c>
      <c r="N15" s="6">
        <v>20.593804352413791</v>
      </c>
      <c r="O15" s="6">
        <v>-1.7968643022259907</v>
      </c>
      <c r="P15" s="6">
        <v>35.201075332268815</v>
      </c>
      <c r="Q15" s="6">
        <v>-0.97583073999999881</v>
      </c>
      <c r="R15" s="6">
        <v>39.472554789137916</v>
      </c>
      <c r="S15" s="6">
        <v>-1.505825839484753</v>
      </c>
      <c r="T15" s="6">
        <v>31.048388641846831</v>
      </c>
      <c r="U15" s="6">
        <v>-1.1150051853437002</v>
      </c>
      <c r="V15" s="6">
        <v>37.333873364957874</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description</vt:lpstr>
      <vt:lpstr>cross sectional data</vt:lpstr>
      <vt:lpstr>drc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Joël K. Kazadi</dc:creator>
  <cp:lastModifiedBy>Joël K. Kazadi</cp:lastModifiedBy>
  <dcterms:created xsi:type="dcterms:W3CDTF">2026-04-25T13:19:58Z</dcterms:created>
  <dcterms:modified xsi:type="dcterms:W3CDTF">2026-05-30T15:16:57Z</dcterms:modified>
</cp:coreProperties>
</file>